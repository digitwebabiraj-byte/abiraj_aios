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By Marketplace" sheetId="2" state="visible" r:id="rId4"/>
    <sheet name="Defini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note</author>
  </authors>
  <commentList>
    <comment ref="O5" authorId="0">
      <text>
        <r>
          <rPr>
            <sz val="10"/>
            <rFont val="Arial"/>
            <family val="2"/>
          </rPr>
          <t xml:space="preserve">Conversion = account conversions / page-views (whole-account eBay traffic, traffic_data which_channel=2).</t>
        </r>
      </text>
    </comment>
    <comment ref="R5" authorId="0">
      <text>
        <r>
          <rPr>
            <sz val="10"/>
            <rFont val="Arial"/>
            <family val="2"/>
          </rPr>
          <t xml:space="preserve">eBay Promoted Listings PRIORITY / ON_SITE campaigns only (record_subtype=ON_SITE). Standard COST_PER_SALE excluded.</t>
        </r>
      </text>
    </comment>
    <comment ref="S5" authorId="0">
      <text>
        <r>
          <rPr>
            <sz val="10"/>
            <rFont val="Arial"/>
            <family val="2"/>
          </rPr>
          <t xml:space="preserve">Ad Sales = eBay-attributed at ON_SITE level (stays under revenue at this scope).</t>
        </r>
      </text>
    </comment>
    <comment ref="T5" authorId="0">
      <text>
        <r>
          <rPr>
            <sz val="10"/>
            <rFont val="Arial"/>
            <family val="2"/>
          </rPr>
          <t xml:space="preserve">TACOS = Ad Spend / total revenue. ACOS/ROAS on attributed sales omitted (attribution overlaps).</t>
        </r>
      </text>
    </comment>
    <comment ref="X5" authorId="0">
      <text>
        <r>
          <rPr>
            <sz val="10"/>
            <rFont val="Arial"/>
            <family val="2"/>
          </rPr>
          <t xml:space="preserve">New Listings = eBay listings created in June (ledsone listings.ebay_listings.created_at, distinct item_id).</t>
        </r>
      </text>
    </comment>
    <comment ref="Z5" authorId="0">
      <text>
        <r>
          <rPr>
            <sz val="10"/>
            <rFont val="Arial"/>
            <family val="2"/>
          </rPr>
          <t xml:space="preserve">Stock = warehouse units for the site's SKUs; shared across a store's marketplace rows (overlaps).</t>
        </r>
      </text>
    </comment>
  </commentList>
</comments>
</file>

<file path=xl/sharedStrings.xml><?xml version="1.0" encoding="utf-8"?>
<sst xmlns="http://schemas.openxmlformats.org/spreadsheetml/2006/main" count="199" uniqueCount="92">
  <si>
    <t xml:space="preserve">eBay Account Performance Dashboard — June 2026</t>
  </si>
  <si>
    <t xml:space="preserve">Rows = account × marketplace · Sales = SUM(order_total), Completed · Ad = eBay Promoted Listings ON_SITE (Priority) only · TACOS = Ad Spend ÷ Revenue · REQ-13-D01</t>
  </si>
  <si>
    <t xml:space="preserve">Account</t>
  </si>
  <si>
    <t xml:space="preserve">Market</t>
  </si>
  <si>
    <t xml:space="preserve">SALES</t>
  </si>
  <si>
    <t xml:space="preserve">ADVERTISING (ON_SITE)</t>
  </si>
  <si>
    <t xml:space="preserve">LISTINGS &amp; STOCK</t>
  </si>
  <si>
    <t xml:space="preserve">Account / Store</t>
  </si>
  <si>
    <t xml:space="preserve">Mkt</t>
  </si>
  <si>
    <t xml:space="preserve">Revenue</t>
  </si>
  <si>
    <t xml:space="preserve">LM Rev</t>
  </si>
  <si>
    <t xml:space="preserve">LY Rev</t>
  </si>
  <si>
    <t xml:space="preserve">Orders</t>
  </si>
  <si>
    <t xml:space="preserve">LM</t>
  </si>
  <si>
    <t xml:space="preserve">LY</t>
  </si>
  <si>
    <t xml:space="preserve">Units</t>
  </si>
  <si>
    <t xml:space="preserve">AOV</t>
  </si>
  <si>
    <t xml:space="preserve">Conversion</t>
  </si>
  <si>
    <t xml:space="preserve">Ad Spend</t>
  </si>
  <si>
    <t xml:space="preserve">Ad Sales</t>
  </si>
  <si>
    <t xml:space="preserve">TACOS</t>
  </si>
  <si>
    <t xml:space="preserve">Return</t>
  </si>
  <si>
    <t xml:space="preserve">PPC Rank</t>
  </si>
  <si>
    <t xml:space="preserve">Active</t>
  </si>
  <si>
    <t xml:space="preserve">New</t>
  </si>
  <si>
    <t xml:space="preserve">Sales Rank</t>
  </si>
  <si>
    <t xml:space="preserve">Stock</t>
  </si>
  <si>
    <t xml:space="preserve">LEDSONE UK (led_sone)</t>
  </si>
  <si>
    <t xml:space="preserve">UK</t>
  </si>
  <si>
    <t xml:space="preserve">#1</t>
  </si>
  <si>
    <t xml:space="preserve">DE</t>
  </si>
  <si>
    <t xml:space="preserve">#5</t>
  </si>
  <si>
    <t xml:space="preserve">FR</t>
  </si>
  <si>
    <t xml:space="preserve">#10</t>
  </si>
  <si>
    <t xml:space="preserve">#16</t>
  </si>
  <si>
    <t xml:space="preserve">US</t>
  </si>
  <si>
    <t xml:space="preserve">#9</t>
  </si>
  <si>
    <t xml:space="preserve">#19</t>
  </si>
  <si>
    <t xml:space="preserve">IT</t>
  </si>
  <si>
    <t xml:space="preserve">—</t>
  </si>
  <si>
    <t xml:space="preserve">#20</t>
  </si>
  <si>
    <t xml:space="preserve">SUNSONE UK (so_926407)</t>
  </si>
  <si>
    <t xml:space="preserve">#3</t>
  </si>
  <si>
    <t xml:space="preserve">#4</t>
  </si>
  <si>
    <t xml:space="preserve">#7</t>
  </si>
  <si>
    <t xml:space="preserve">Electricalsone UK (electricalsone)</t>
  </si>
  <si>
    <t xml:space="preserve">#2</t>
  </si>
  <si>
    <t xml:space="preserve">#8</t>
  </si>
  <si>
    <t xml:space="preserve">#11</t>
  </si>
  <si>
    <t xml:space="preserve">#14</t>
  </si>
  <si>
    <t xml:space="preserve">CA</t>
  </si>
  <si>
    <t xml:space="preserve">#12</t>
  </si>
  <si>
    <t xml:space="preserve">#17</t>
  </si>
  <si>
    <t xml:space="preserve">#21</t>
  </si>
  <si>
    <t xml:space="preserve">LEDSONE DE (ledsonede)</t>
  </si>
  <si>
    <t xml:space="preserve">#6</t>
  </si>
  <si>
    <t xml:space="preserve">Huettenlampen DE (huettenlampen)</t>
  </si>
  <si>
    <t xml:space="preserve">#22</t>
  </si>
  <si>
    <t xml:space="preserve">Coventry Lights UK (coventrylights)</t>
  </si>
  <si>
    <t xml:space="preserve">Vintage Interior UK (vintageinterior)</t>
  </si>
  <si>
    <t xml:space="preserve">DC Transformer UK (dctransformer)</t>
  </si>
  <si>
    <t xml:space="preserve">RE6865 UK (re6865)</t>
  </si>
  <si>
    <t xml:space="preserve">Neighbour Market US (neighbourmarket)</t>
  </si>
  <si>
    <t xml:space="preserve">#18</t>
  </si>
  <si>
    <t xml:space="preserve">Lighting Sone UK (lighting_sone)</t>
  </si>
  <si>
    <t xml:space="preserve">#13</t>
  </si>
  <si>
    <t xml:space="preserve">Homin GmbH DE (homin_gmbh)</t>
  </si>
  <si>
    <t xml:space="preserve">#15</t>
  </si>
  <si>
    <t xml:space="preserve">TOTAL — 22 rows</t>
  </si>
  <si>
    <t xml:space="preserve">By Marketplace — all accounts combined (June 2026)</t>
  </si>
  <si>
    <t xml:space="preserve">Marketplace</t>
  </si>
  <si>
    <t xml:space="preserve">Ad Spend (ON_SITE)</t>
  </si>
  <si>
    <t xml:space="preserve">Rows</t>
  </si>
  <si>
    <t xml:space="preserve">UK — UK</t>
  </si>
  <si>
    <t xml:space="preserve">DE — Germany</t>
  </si>
  <si>
    <t xml:space="preserve">FR — France</t>
  </si>
  <si>
    <t xml:space="preserve">IT — Italy</t>
  </si>
  <si>
    <t xml:space="preserve">IE — Ireland</t>
  </si>
  <si>
    <t xml:space="preserve">US — US</t>
  </si>
  <si>
    <t xml:space="preserve">CA — Canada</t>
  </si>
  <si>
    <t xml:space="preserve">DEFINITIONS, DATA SOURCES &amp; METHOD</t>
  </si>
  <si>
    <t xml:space="preserve">• Reporting month = June 2026 (order_date &gt;= 2026-06-01 AND &lt; 2026-07-01). LM = May 2026, LY = June 2025.</t>
  </si>
  <si>
    <t xml:space="preserve">• Rows = account (ss_name) × marketplace (order_transaction.market_place). A store sells cross-border; each row = that store's sales to one marketplace's buyers.</t>
  </si>
  <si>
    <t xml:space="preserve">• Revenue = SUM(order_total) on source_name='EBAY', order_status='Completed' — eBay's settled paid value incl. real postage (NOT item_price*qty, NOT +shipping_template_price). AOV = Revenue/Orders.</t>
  </si>
  <si>
    <t xml:space="preserve">• Conversion = account conversions / page-views (whole-account eBay traffic, traffic_data which_channel=2). Blank where no traffic.</t>
  </si>
  <si>
    <t xml:space="preserve">• Ad Spend / Ad Sales = eBay Promoted Listings PRIORITY / ON_SITE campaigns only (ppc_performance joined to ppc where record_subtype='ON_SITE'; join record_id=parent_id). Standard COST_PER_SALE fees excluded per Thinesh.</t>
  </si>
  <si>
    <t xml:space="preserve">• TACOS = Ad Spend / total revenue (real efficiency). Return = revenue / Ad Spend. ACOS/ROAS on eBay-attributed sales are omitted (one order is attributed to every overlapping campaign, so attributed sales over-count).</t>
  </si>
  <si>
    <t xml:space="preserve">• Active Listings = distinct ref_id (listing_data, ebay, per marketplace). New Listings = distinct item_id created in June (ledsone DB listings.ebay_listings.created_at). Stock = SUM(inv_final_stock) for the site's SKUs (shared/overlapping).</t>
  </si>
  <si>
    <t xml:space="preserve">• Sales Rank = rows ranked by June revenue. PPC Rank = ad rows ranked by ON_SITE spend.</t>
  </si>
  <si>
    <t xml:space="preserve">• Account mapping (Thinesh-confirmed): LEDSONE UK=led_sone, SUNSONE UK=so_926407, Electricalsone UK=electricalsone, LEDSONE DE=ledsonede.</t>
  </si>
  <si>
    <t xml:space="preserve">• OPEN: orders = COUNT(DISTINCT order_id) (led_sone UK 1,517) — team reference showed 1,619 = COUNT(*) line count; pending confirmation. Conversion RAG threshold (green &gt;4.5%) predates whole-account conversion (~2-3%) — recalibration pending.</t>
  </si>
  <si>
    <t xml:space="preserve">• Read-only against all warehouse + ledsone tables. Published HTML twin live in tech_team_outputs.ph_task (Thinesh, Jarsini, kobiga, powsteena).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</si>
</sst>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£#,##0"/>
    <numFmt numFmtId="166" formatCode="#,##0"/>
    <numFmt numFmtId="167" formatCode="\£#,##0.00"/>
    <numFmt numFmtId="168" formatCode="0.00%"/>
    <numFmt numFmtId="169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E293B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b val="true"/>
      <sz val="13"/>
      <color rgb="FF0D9488"/>
      <name val="Arial"/>
      <family val="0"/>
      <charset val="1"/>
    </font>
    <font>
      <b val="true"/>
      <sz val="13"/>
      <color rgb="FF1E293B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334155"/>
        <bgColor rgb="FF1E293B"/>
      </patternFill>
    </fill>
    <fill>
      <patternFill patternType="solid">
        <fgColor rgb="FF0D9488"/>
        <bgColor rgb="FF008080"/>
      </patternFill>
    </fill>
    <fill>
      <patternFill patternType="solid">
        <fgColor rgb="FFD9E1F2"/>
        <bgColor rgb="FFC6EFCE"/>
      </patternFill>
    </fill>
    <fill>
      <patternFill patternType="solid">
        <fgColor rgb="FFFFC7CE"/>
        <bgColor rgb="FFD9E1F2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D9E1F2"/>
      </patternFill>
    </fill>
    <fill>
      <patternFill patternType="solid">
        <fgColor rgb="FF1E293B"/>
        <bgColor rgb="FF003366"/>
      </patternFill>
    </fill>
    <fill>
      <patternFill patternType="solid">
        <fgColor rgb="FFFFF2CC"/>
        <bgColor rgb="FFFFEB9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17" min="6" style="0" width="10"/>
    <col collapsed="false" customWidth="true" hidden="false" outlineLevel="0" max="19" min="18" style="0" width="12"/>
    <col collapsed="false" customWidth="true" hidden="false" outlineLevel="0" max="22" min="20" style="0" width="10"/>
    <col collapsed="false" customWidth="true" hidden="false" outlineLevel="0" max="23" min="23" style="0" width="12"/>
    <col collapsed="false" customWidth="true" hidden="false" outlineLevel="0" max="25" min="24" style="0" width="10"/>
    <col collapsed="false" customWidth="true" hidden="false" outlineLevel="0" max="26" min="26" style="0" width="12"/>
  </cols>
  <sheetData>
    <row r="1" customFormat="false" ht="68.65" hidden="false" customHeight="false" outlineLevel="0" collapsed="false">
      <c r="A1" s="1" t="s">
        <v>0</v>
      </c>
    </row>
    <row r="2" customFormat="false" ht="62.65" hidden="false" customHeight="false" outlineLevel="0" collapsed="false">
      <c r="A2" s="2" t="s">
        <v>1</v>
      </c>
    </row>
    <row r="4" customFormat="false" ht="15" hidden="false" customHeight="true" outlineLevel="0" collapsed="false">
      <c r="A4" s="3" t="s">
        <v>2</v>
      </c>
      <c r="B4" s="3" t="s">
        <v>3</v>
      </c>
      <c r="C4" s="4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 t="s">
        <v>5</v>
      </c>
      <c r="S4" s="5"/>
      <c r="T4" s="5"/>
      <c r="U4" s="5"/>
      <c r="V4" s="5"/>
      <c r="W4" s="4" t="s">
        <v>6</v>
      </c>
      <c r="X4" s="4"/>
      <c r="Y4" s="4"/>
      <c r="Z4" s="4"/>
    </row>
    <row r="5" customFormat="false" ht="25.3" hidden="false" customHeight="false" outlineLevel="0" collapsed="false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13</v>
      </c>
      <c r="H5" s="6" t="s">
        <v>14</v>
      </c>
      <c r="I5" s="6" t="s">
        <v>15</v>
      </c>
      <c r="J5" s="6" t="s">
        <v>13</v>
      </c>
      <c r="K5" s="6" t="s">
        <v>14</v>
      </c>
      <c r="L5" s="6" t="s">
        <v>16</v>
      </c>
      <c r="M5" s="6" t="s">
        <v>13</v>
      </c>
      <c r="N5" s="6" t="s">
        <v>14</v>
      </c>
      <c r="O5" s="6" t="s">
        <v>17</v>
      </c>
      <c r="P5" s="6" t="s">
        <v>13</v>
      </c>
      <c r="Q5" s="6" t="s">
        <v>14</v>
      </c>
      <c r="R5" s="6" t="s">
        <v>18</v>
      </c>
      <c r="S5" s="6" t="s">
        <v>19</v>
      </c>
      <c r="T5" s="6" t="s">
        <v>20</v>
      </c>
      <c r="U5" s="6" t="s">
        <v>21</v>
      </c>
      <c r="V5" s="6" t="s">
        <v>22</v>
      </c>
      <c r="W5" s="6" t="s">
        <v>23</v>
      </c>
      <c r="X5" s="6" t="s">
        <v>24</v>
      </c>
      <c r="Y5" s="6" t="s">
        <v>25</v>
      </c>
      <c r="Z5" s="6" t="s">
        <v>26</v>
      </c>
    </row>
    <row r="6" customFormat="false" ht="25.5" hidden="false" customHeight="true" outlineLevel="0" collapsed="false">
      <c r="A6" s="7" t="s">
        <v>27</v>
      </c>
      <c r="B6" s="8" t="s">
        <v>28</v>
      </c>
      <c r="C6" s="9" t="n">
        <v>28975.37</v>
      </c>
      <c r="D6" s="10" t="n">
        <v>33956.8</v>
      </c>
      <c r="E6" s="10" t="n">
        <v>38047.84</v>
      </c>
      <c r="F6" s="11" t="n">
        <v>1517</v>
      </c>
      <c r="G6" s="11" t="n">
        <v>1677</v>
      </c>
      <c r="H6" s="11" t="n">
        <v>1896</v>
      </c>
      <c r="I6" s="11" t="n">
        <v>2452</v>
      </c>
      <c r="J6" s="11" t="n">
        <v>3009</v>
      </c>
      <c r="K6" s="11" t="n">
        <v>3344</v>
      </c>
      <c r="L6" s="12" t="n">
        <f aca="false">IF(F6=0,0,C6/F6)</f>
        <v>19.1004416611734</v>
      </c>
      <c r="M6" s="12" t="n">
        <f aca="false">IF(G6=0,0,D6/G6)</f>
        <v>20.2485390578414</v>
      </c>
      <c r="N6" s="12" t="n">
        <f aca="false">IF(H6=0,0,E6/H6)</f>
        <v>20.0674261603376</v>
      </c>
      <c r="O6" s="13" t="n">
        <v>0.0226</v>
      </c>
      <c r="P6" s="14" t="n">
        <v>0.0236</v>
      </c>
      <c r="Q6" s="14" t="n">
        <v>0.0211</v>
      </c>
      <c r="R6" s="10" t="n">
        <v>3495.23</v>
      </c>
      <c r="S6" s="10" t="n">
        <v>17866.2</v>
      </c>
      <c r="T6" s="15" t="n">
        <f aca="false">IF(C6=0,0,R6/C6)</f>
        <v>0.120627622701626</v>
      </c>
      <c r="U6" s="16" t="n">
        <f aca="false">IF(R6=0,0,C6/R6)</f>
        <v>8.28997519476544</v>
      </c>
      <c r="V6" s="17" t="s">
        <v>29</v>
      </c>
      <c r="W6" s="11" t="n">
        <v>2779</v>
      </c>
      <c r="X6" s="11" t="n">
        <v>48</v>
      </c>
      <c r="Y6" s="17" t="s">
        <v>29</v>
      </c>
      <c r="Z6" s="11" t="n">
        <v>2592263</v>
      </c>
    </row>
    <row r="7" customFormat="false" ht="25.5" hidden="false" customHeight="true" outlineLevel="0" collapsed="false">
      <c r="A7" s="7" t="s">
        <v>27</v>
      </c>
      <c r="B7" s="8" t="s">
        <v>30</v>
      </c>
      <c r="C7" s="18" t="n">
        <v>7489.41</v>
      </c>
      <c r="D7" s="10" t="n">
        <v>7350.77</v>
      </c>
      <c r="E7" s="10" t="n">
        <v>9619.53</v>
      </c>
      <c r="F7" s="11" t="n">
        <v>310</v>
      </c>
      <c r="G7" s="11" t="n">
        <v>358</v>
      </c>
      <c r="H7" s="11" t="n">
        <v>490</v>
      </c>
      <c r="I7" s="11" t="n">
        <v>532</v>
      </c>
      <c r="J7" s="11" t="n">
        <v>560</v>
      </c>
      <c r="K7" s="11" t="n">
        <v>741</v>
      </c>
      <c r="L7" s="12" t="n">
        <f aca="false">IF(F7=0,0,C7/F7)</f>
        <v>24.1593870967742</v>
      </c>
      <c r="M7" s="12" t="n">
        <f aca="false">IF(G7=0,0,D7/G7)</f>
        <v>20.5328770949721</v>
      </c>
      <c r="N7" s="12" t="n">
        <f aca="false">IF(H7=0,0,E7/H7)</f>
        <v>19.631693877551</v>
      </c>
      <c r="O7" s="13" t="n">
        <v>0.0202</v>
      </c>
      <c r="P7" s="14" t="n">
        <v>0.0217</v>
      </c>
      <c r="Q7" s="14" t="n">
        <v>0.0203</v>
      </c>
      <c r="R7" s="10" t="n">
        <v>698.81</v>
      </c>
      <c r="S7" s="10" t="n">
        <v>3178.13</v>
      </c>
      <c r="T7" s="19" t="n">
        <f aca="false">IF(C7=0,0,R7/C7)</f>
        <v>0.0933064153251057</v>
      </c>
      <c r="U7" s="16" t="n">
        <f aca="false">IF(R7=0,0,C7/R7)</f>
        <v>10.7173766832186</v>
      </c>
      <c r="V7" s="17" t="s">
        <v>31</v>
      </c>
      <c r="W7" s="11" t="n">
        <v>1315</v>
      </c>
      <c r="X7" s="11" t="n">
        <v>24</v>
      </c>
      <c r="Y7" s="17" t="s">
        <v>31</v>
      </c>
      <c r="Z7" s="11" t="n">
        <v>1302951</v>
      </c>
    </row>
    <row r="8" customFormat="false" ht="25.5" hidden="false" customHeight="true" outlineLevel="0" collapsed="false">
      <c r="A8" s="7" t="s">
        <v>27</v>
      </c>
      <c r="B8" s="8" t="s">
        <v>32</v>
      </c>
      <c r="C8" s="20" t="n">
        <v>255.15</v>
      </c>
      <c r="D8" s="10" t="n">
        <v>156.12</v>
      </c>
      <c r="E8" s="10" t="n">
        <v>86.68</v>
      </c>
      <c r="F8" s="11" t="n">
        <v>3</v>
      </c>
      <c r="G8" s="11" t="n">
        <v>2</v>
      </c>
      <c r="H8" s="11" t="n">
        <v>2</v>
      </c>
      <c r="I8" s="11" t="n">
        <v>9</v>
      </c>
      <c r="J8" s="11" t="n">
        <v>5</v>
      </c>
      <c r="K8" s="11" t="n">
        <v>4</v>
      </c>
      <c r="L8" s="12" t="n">
        <f aca="false">IF(F8=0,0,C8/F8)</f>
        <v>85.05</v>
      </c>
      <c r="M8" s="12" t="n">
        <f aca="false">IF(G8=0,0,D8/G8)</f>
        <v>78.06</v>
      </c>
      <c r="N8" s="12" t="n">
        <f aca="false">IF(H8=0,0,E8/H8)</f>
        <v>43.34</v>
      </c>
      <c r="O8" s="13" t="n">
        <v>0.0056</v>
      </c>
      <c r="P8" s="14" t="n">
        <v>0.0021</v>
      </c>
      <c r="Q8" s="14" t="n">
        <v>0</v>
      </c>
      <c r="R8" s="10" t="n">
        <v>10.62</v>
      </c>
      <c r="S8" s="10" t="n">
        <v>115.92</v>
      </c>
      <c r="T8" s="19" t="n">
        <f aca="false">IF(C8=0,0,R8/C8)</f>
        <v>0.0416225749559083</v>
      </c>
      <c r="U8" s="16" t="n">
        <f aca="false">IF(R8=0,0,C8/R8)</f>
        <v>24.0254237288136</v>
      </c>
      <c r="V8" s="17" t="s">
        <v>33</v>
      </c>
      <c r="W8" s="11" t="n">
        <v>364</v>
      </c>
      <c r="X8" s="11" t="n">
        <v>0</v>
      </c>
      <c r="Y8" s="17" t="s">
        <v>34</v>
      </c>
      <c r="Z8" s="11" t="n">
        <v>569768</v>
      </c>
    </row>
    <row r="9" customFormat="false" ht="25.5" hidden="false" customHeight="true" outlineLevel="0" collapsed="false">
      <c r="A9" s="7" t="s">
        <v>27</v>
      </c>
      <c r="B9" s="8" t="s">
        <v>35</v>
      </c>
      <c r="C9" s="9" t="n">
        <v>167.1</v>
      </c>
      <c r="D9" s="10" t="n">
        <v>1197.31</v>
      </c>
      <c r="E9" s="10" t="n">
        <v>477.56</v>
      </c>
      <c r="F9" s="11" t="n">
        <v>4</v>
      </c>
      <c r="G9" s="11" t="n">
        <v>12</v>
      </c>
      <c r="H9" s="11" t="n">
        <v>9</v>
      </c>
      <c r="I9" s="11" t="n">
        <v>5</v>
      </c>
      <c r="J9" s="11" t="n">
        <v>44</v>
      </c>
      <c r="K9" s="11" t="n">
        <v>11</v>
      </c>
      <c r="L9" s="12" t="n">
        <f aca="false">IF(F9=0,0,C9/F9)</f>
        <v>41.775</v>
      </c>
      <c r="M9" s="12" t="n">
        <f aca="false">IF(G9=0,0,D9/G9)</f>
        <v>99.7758333333333</v>
      </c>
      <c r="N9" s="12" t="n">
        <f aca="false">IF(H9=0,0,E9/H9)</f>
        <v>53.0622222222222</v>
      </c>
      <c r="O9" s="13" t="n">
        <v>0.0044</v>
      </c>
      <c r="P9" s="14" t="n">
        <v>0.0093</v>
      </c>
      <c r="Q9" s="14" t="n">
        <v>0.0056</v>
      </c>
      <c r="R9" s="10" t="n">
        <v>32.47</v>
      </c>
      <c r="S9" s="10" t="n">
        <v>95.73</v>
      </c>
      <c r="T9" s="13" t="n">
        <f aca="false">IF(C9=0,0,R9/C9)</f>
        <v>0.194314781567923</v>
      </c>
      <c r="U9" s="21" t="n">
        <f aca="false">IF(R9=0,0,C9/R9)</f>
        <v>5.14628888204496</v>
      </c>
      <c r="V9" s="17" t="s">
        <v>36</v>
      </c>
      <c r="W9" s="11" t="n">
        <v>390</v>
      </c>
      <c r="X9" s="11" t="n">
        <v>0</v>
      </c>
      <c r="Y9" s="17" t="s">
        <v>37</v>
      </c>
      <c r="Z9" s="11" t="n">
        <v>539024</v>
      </c>
    </row>
    <row r="10" customFormat="false" ht="25.5" hidden="false" customHeight="true" outlineLevel="0" collapsed="false">
      <c r="A10" s="7" t="s">
        <v>27</v>
      </c>
      <c r="B10" s="8" t="s">
        <v>38</v>
      </c>
      <c r="C10" s="9" t="n">
        <v>128.83</v>
      </c>
      <c r="D10" s="10" t="n">
        <v>272.97</v>
      </c>
      <c r="E10" s="10" t="n">
        <v>108.84</v>
      </c>
      <c r="F10" s="11" t="n">
        <v>2</v>
      </c>
      <c r="G10" s="11" t="n">
        <v>1</v>
      </c>
      <c r="H10" s="11" t="n">
        <v>2</v>
      </c>
      <c r="I10" s="11" t="n">
        <v>4</v>
      </c>
      <c r="J10" s="11" t="n">
        <v>12</v>
      </c>
      <c r="K10" s="11" t="n">
        <v>3</v>
      </c>
      <c r="L10" s="12" t="n">
        <f aca="false">IF(F10=0,0,C10/F10)</f>
        <v>64.415</v>
      </c>
      <c r="M10" s="12" t="n">
        <f aca="false">IF(G10=0,0,D10/G10)</f>
        <v>272.97</v>
      </c>
      <c r="N10" s="12" t="n">
        <f aca="false">IF(H10=0,0,E10/H10)</f>
        <v>54.42</v>
      </c>
      <c r="O10" s="14"/>
      <c r="P10" s="14"/>
      <c r="Q10" s="14"/>
      <c r="R10" s="22" t="s">
        <v>39</v>
      </c>
      <c r="S10" s="22" t="s">
        <v>39</v>
      </c>
      <c r="T10" s="22" t="s">
        <v>39</v>
      </c>
      <c r="U10" s="22" t="s">
        <v>39</v>
      </c>
      <c r="V10" s="22" t="s">
        <v>39</v>
      </c>
      <c r="W10" s="11" t="n">
        <v>136</v>
      </c>
      <c r="X10" s="11" t="n">
        <v>0</v>
      </c>
      <c r="Y10" s="17" t="s">
        <v>40</v>
      </c>
      <c r="Z10" s="11" t="n">
        <v>349400</v>
      </c>
    </row>
    <row r="11" customFormat="false" ht="25.5" hidden="false" customHeight="true" outlineLevel="0" collapsed="false">
      <c r="A11" s="7" t="s">
        <v>41</v>
      </c>
      <c r="B11" s="8" t="s">
        <v>28</v>
      </c>
      <c r="C11" s="9" t="n">
        <v>10252.84</v>
      </c>
      <c r="D11" s="10" t="n">
        <v>10427.91</v>
      </c>
      <c r="E11" s="10" t="n">
        <v>7476.43</v>
      </c>
      <c r="F11" s="11" t="n">
        <v>510</v>
      </c>
      <c r="G11" s="11" t="n">
        <v>572</v>
      </c>
      <c r="H11" s="11" t="n">
        <v>446</v>
      </c>
      <c r="I11" s="11" t="n">
        <v>803</v>
      </c>
      <c r="J11" s="11" t="n">
        <v>889</v>
      </c>
      <c r="K11" s="11" t="n">
        <v>837</v>
      </c>
      <c r="L11" s="12" t="n">
        <f aca="false">IF(F11=0,0,C11/F11)</f>
        <v>20.1036078431373</v>
      </c>
      <c r="M11" s="12" t="n">
        <f aca="false">IF(G11=0,0,D11/G11)</f>
        <v>18.2306118881119</v>
      </c>
      <c r="N11" s="12" t="n">
        <f aca="false">IF(H11=0,0,E11/H11)</f>
        <v>16.7632959641256</v>
      </c>
      <c r="O11" s="13" t="n">
        <v>0.0202</v>
      </c>
      <c r="P11" s="14" t="n">
        <v>0.021</v>
      </c>
      <c r="Q11" s="14"/>
      <c r="R11" s="10" t="n">
        <v>884.07</v>
      </c>
      <c r="S11" s="10" t="n">
        <v>4832.34</v>
      </c>
      <c r="T11" s="19" t="n">
        <f aca="false">IF(C11=0,0,R11/C11)</f>
        <v>0.0862268405632001</v>
      </c>
      <c r="U11" s="16" t="n">
        <f aca="false">IF(R11=0,0,C11/R11)</f>
        <v>11.5973169545398</v>
      </c>
      <c r="V11" s="17" t="s">
        <v>42</v>
      </c>
      <c r="W11" s="11" t="n">
        <v>1138</v>
      </c>
      <c r="X11" s="11" t="n">
        <v>33</v>
      </c>
      <c r="Y11" s="17" t="s">
        <v>43</v>
      </c>
      <c r="Z11" s="11" t="n">
        <v>1707855</v>
      </c>
    </row>
    <row r="12" customFormat="false" ht="25.5" hidden="false" customHeight="true" outlineLevel="0" collapsed="false">
      <c r="A12" s="7" t="s">
        <v>41</v>
      </c>
      <c r="B12" s="8" t="s">
        <v>30</v>
      </c>
      <c r="C12" s="18" t="n">
        <v>1864.1</v>
      </c>
      <c r="D12" s="10" t="n">
        <v>1815.18</v>
      </c>
      <c r="E12" s="10" t="n">
        <v>2112.85</v>
      </c>
      <c r="F12" s="11" t="n">
        <v>82</v>
      </c>
      <c r="G12" s="11" t="n">
        <v>77</v>
      </c>
      <c r="H12" s="11" t="n">
        <v>120</v>
      </c>
      <c r="I12" s="11" t="n">
        <v>107</v>
      </c>
      <c r="J12" s="11" t="n">
        <v>114</v>
      </c>
      <c r="K12" s="11" t="n">
        <v>164</v>
      </c>
      <c r="L12" s="12" t="n">
        <f aca="false">IF(F12=0,0,C12/F12)</f>
        <v>22.7329268292683</v>
      </c>
      <c r="M12" s="12" t="n">
        <f aca="false">IF(G12=0,0,D12/G12)</f>
        <v>23.5737662337662</v>
      </c>
      <c r="N12" s="12" t="n">
        <f aca="false">IF(H12=0,0,E12/H12)</f>
        <v>17.6070833333333</v>
      </c>
      <c r="O12" s="13" t="n">
        <v>0.0221</v>
      </c>
      <c r="P12" s="14" t="n">
        <v>0.0225</v>
      </c>
      <c r="Q12" s="14"/>
      <c r="R12" s="10" t="n">
        <v>226.18</v>
      </c>
      <c r="S12" s="10" t="n">
        <v>1079.83</v>
      </c>
      <c r="T12" s="15" t="n">
        <f aca="false">IF(C12=0,0,R12/C12)</f>
        <v>0.121334692344831</v>
      </c>
      <c r="U12" s="16" t="n">
        <f aca="false">IF(R12=0,0,C12/R12)</f>
        <v>8.24166592979043</v>
      </c>
      <c r="V12" s="17" t="s">
        <v>44</v>
      </c>
      <c r="W12" s="11" t="n">
        <v>293</v>
      </c>
      <c r="X12" s="11" t="n">
        <v>0</v>
      </c>
      <c r="Y12" s="17" t="s">
        <v>36</v>
      </c>
      <c r="Z12" s="11" t="n">
        <v>320423</v>
      </c>
    </row>
    <row r="13" customFormat="false" ht="25.5" hidden="false" customHeight="true" outlineLevel="0" collapsed="false">
      <c r="A13" s="7" t="s">
        <v>45</v>
      </c>
      <c r="B13" s="8" t="s">
        <v>28</v>
      </c>
      <c r="C13" s="9" t="n">
        <v>12285.07</v>
      </c>
      <c r="D13" s="10" t="n">
        <v>13982.62</v>
      </c>
      <c r="E13" s="10" t="n">
        <v>16692.88</v>
      </c>
      <c r="F13" s="11" t="n">
        <v>570</v>
      </c>
      <c r="G13" s="11" t="n">
        <v>750</v>
      </c>
      <c r="H13" s="11" t="n">
        <v>993</v>
      </c>
      <c r="I13" s="11" t="n">
        <v>930</v>
      </c>
      <c r="J13" s="11" t="n">
        <v>1235</v>
      </c>
      <c r="K13" s="11" t="n">
        <v>1518</v>
      </c>
      <c r="L13" s="12" t="n">
        <f aca="false">IF(F13=0,0,C13/F13)</f>
        <v>21.5527543859649</v>
      </c>
      <c r="M13" s="12" t="n">
        <f aca="false">IF(G13=0,0,D13/G13)</f>
        <v>18.6434933333333</v>
      </c>
      <c r="N13" s="12" t="n">
        <f aca="false">IF(H13=0,0,E13/H13)</f>
        <v>16.81055387714</v>
      </c>
      <c r="O13" s="13" t="n">
        <v>0.0215</v>
      </c>
      <c r="P13" s="14" t="n">
        <v>0.024</v>
      </c>
      <c r="Q13" s="14" t="n">
        <v>0.0269</v>
      </c>
      <c r="R13" s="10" t="n">
        <v>744.58</v>
      </c>
      <c r="S13" s="10" t="n">
        <v>5131.38</v>
      </c>
      <c r="T13" s="19" t="n">
        <f aca="false">IF(C13=0,0,R13/C13)</f>
        <v>0.0606085272611389</v>
      </c>
      <c r="U13" s="16" t="n">
        <f aca="false">IF(R13=0,0,C13/R13)</f>
        <v>16.4993284804856</v>
      </c>
      <c r="V13" s="17" t="s">
        <v>43</v>
      </c>
      <c r="W13" s="11" t="n">
        <v>1490</v>
      </c>
      <c r="X13" s="11" t="n">
        <v>36</v>
      </c>
      <c r="Y13" s="17" t="s">
        <v>46</v>
      </c>
      <c r="Z13" s="11" t="n">
        <v>1910861</v>
      </c>
    </row>
    <row r="14" customFormat="false" ht="25.5" hidden="false" customHeight="true" outlineLevel="0" collapsed="false">
      <c r="A14" s="7" t="s">
        <v>45</v>
      </c>
      <c r="B14" s="8" t="s">
        <v>30</v>
      </c>
      <c r="C14" s="9" t="n">
        <v>1474.31</v>
      </c>
      <c r="D14" s="10" t="n">
        <v>3138.43</v>
      </c>
      <c r="E14" s="10" t="n">
        <v>3204.66</v>
      </c>
      <c r="F14" s="11" t="n">
        <v>79</v>
      </c>
      <c r="G14" s="11" t="n">
        <v>192</v>
      </c>
      <c r="H14" s="11" t="n">
        <v>166</v>
      </c>
      <c r="I14" s="11" t="n">
        <v>114</v>
      </c>
      <c r="J14" s="11" t="n">
        <v>293</v>
      </c>
      <c r="K14" s="11" t="n">
        <v>294</v>
      </c>
      <c r="L14" s="12" t="n">
        <f aca="false">IF(F14=0,0,C14/F14)</f>
        <v>18.6621518987342</v>
      </c>
      <c r="M14" s="12" t="n">
        <f aca="false">IF(G14=0,0,D14/G14)</f>
        <v>16.3459895833333</v>
      </c>
      <c r="N14" s="12" t="n">
        <f aca="false">IF(H14=0,0,E14/H14)</f>
        <v>19.3051807228916</v>
      </c>
      <c r="O14" s="13" t="n">
        <v>0.0215</v>
      </c>
      <c r="P14" s="14" t="n">
        <v>0.033</v>
      </c>
      <c r="Q14" s="14" t="n">
        <v>0.0252</v>
      </c>
      <c r="R14" s="10" t="n">
        <v>127.79</v>
      </c>
      <c r="S14" s="10" t="n">
        <v>527.19</v>
      </c>
      <c r="T14" s="19" t="n">
        <f aca="false">IF(C14=0,0,R14/C14)</f>
        <v>0.0866778357333261</v>
      </c>
      <c r="U14" s="16" t="n">
        <f aca="false">IF(R14=0,0,C14/R14)</f>
        <v>11.5369747241568</v>
      </c>
      <c r="V14" s="17" t="s">
        <v>47</v>
      </c>
      <c r="W14" s="11" t="n">
        <v>485</v>
      </c>
      <c r="X14" s="11" t="n">
        <v>0</v>
      </c>
      <c r="Y14" s="17" t="s">
        <v>48</v>
      </c>
      <c r="Z14" s="11" t="n">
        <v>493928</v>
      </c>
    </row>
    <row r="15" customFormat="false" ht="25.5" hidden="false" customHeight="true" outlineLevel="0" collapsed="false">
      <c r="A15" s="7" t="s">
        <v>45</v>
      </c>
      <c r="B15" s="8" t="s">
        <v>35</v>
      </c>
      <c r="C15" s="9" t="n">
        <v>463.59</v>
      </c>
      <c r="D15" s="10" t="n">
        <v>843.21</v>
      </c>
      <c r="E15" s="10" t="n">
        <v>402.1</v>
      </c>
      <c r="F15" s="11" t="n">
        <v>10</v>
      </c>
      <c r="G15" s="11" t="n">
        <v>25</v>
      </c>
      <c r="H15" s="11" t="n">
        <v>4</v>
      </c>
      <c r="I15" s="11" t="n">
        <v>17</v>
      </c>
      <c r="J15" s="11" t="n">
        <v>29</v>
      </c>
      <c r="K15" s="11" t="n">
        <v>9</v>
      </c>
      <c r="L15" s="12" t="n">
        <f aca="false">IF(F15=0,0,C15/F15)</f>
        <v>46.359</v>
      </c>
      <c r="M15" s="12" t="n">
        <f aca="false">IF(G15=0,0,D15/G15)</f>
        <v>33.7284</v>
      </c>
      <c r="N15" s="12" t="n">
        <f aca="false">IF(H15=0,0,E15/H15)</f>
        <v>100.525</v>
      </c>
      <c r="O15" s="13" t="n">
        <v>0.0111</v>
      </c>
      <c r="P15" s="14" t="n">
        <v>0.0148</v>
      </c>
      <c r="Q15" s="14" t="n">
        <v>0.0085</v>
      </c>
      <c r="R15" s="22" t="s">
        <v>39</v>
      </c>
      <c r="S15" s="22" t="s">
        <v>39</v>
      </c>
      <c r="T15" s="22" t="s">
        <v>39</v>
      </c>
      <c r="U15" s="22" t="s">
        <v>39</v>
      </c>
      <c r="V15" s="22" t="s">
        <v>39</v>
      </c>
      <c r="W15" s="11" t="n">
        <v>378</v>
      </c>
      <c r="X15" s="11" t="n">
        <v>0</v>
      </c>
      <c r="Y15" s="17" t="s">
        <v>49</v>
      </c>
      <c r="Z15" s="11" t="n">
        <v>420445</v>
      </c>
    </row>
    <row r="16" customFormat="false" ht="25.5" hidden="false" customHeight="true" outlineLevel="0" collapsed="false">
      <c r="A16" s="7" t="s">
        <v>45</v>
      </c>
      <c r="B16" s="8" t="s">
        <v>50</v>
      </c>
      <c r="C16" s="20" t="n">
        <v>231.84</v>
      </c>
      <c r="D16" s="10" t="n">
        <v>138.57</v>
      </c>
      <c r="E16" s="10"/>
      <c r="F16" s="11" t="n">
        <v>2</v>
      </c>
      <c r="G16" s="11" t="n">
        <v>2</v>
      </c>
      <c r="H16" s="11"/>
      <c r="I16" s="11" t="n">
        <v>3</v>
      </c>
      <c r="J16" s="11" t="n">
        <v>3</v>
      </c>
      <c r="K16" s="11"/>
      <c r="L16" s="12" t="n">
        <f aca="false">IF(F16=0,0,C16/F16)</f>
        <v>115.92</v>
      </c>
      <c r="M16" s="12" t="n">
        <f aca="false">IF(G16=0,0,D16/G16)</f>
        <v>69.285</v>
      </c>
      <c r="N16" s="12"/>
      <c r="O16" s="14"/>
      <c r="P16" s="14"/>
      <c r="Q16" s="14"/>
      <c r="R16" s="10" t="n">
        <v>3.95</v>
      </c>
      <c r="S16" s="10" t="n">
        <v>97.62</v>
      </c>
      <c r="T16" s="19" t="n">
        <f aca="false">IF(C16=0,0,R16/C16)</f>
        <v>0.0170376121463078</v>
      </c>
      <c r="U16" s="16" t="n">
        <f aca="false">IF(R16=0,0,C16/R16)</f>
        <v>58.693670886076</v>
      </c>
      <c r="V16" s="17" t="s">
        <v>51</v>
      </c>
      <c r="W16" s="11" t="n">
        <v>154</v>
      </c>
      <c r="X16" s="11" t="n">
        <v>0</v>
      </c>
      <c r="Y16" s="17" t="s">
        <v>52</v>
      </c>
      <c r="Z16" s="11" t="n">
        <v>287756</v>
      </c>
    </row>
    <row r="17" customFormat="false" ht="25.5" hidden="false" customHeight="true" outlineLevel="0" collapsed="false">
      <c r="A17" s="7" t="s">
        <v>45</v>
      </c>
      <c r="B17" s="8" t="s">
        <v>32</v>
      </c>
      <c r="C17" s="9" t="n">
        <v>62.14</v>
      </c>
      <c r="D17" s="10" t="n">
        <v>201.96</v>
      </c>
      <c r="E17" s="10"/>
      <c r="F17" s="11" t="n">
        <v>1</v>
      </c>
      <c r="G17" s="11" t="n">
        <v>4</v>
      </c>
      <c r="H17" s="11"/>
      <c r="I17" s="11" t="n">
        <v>2</v>
      </c>
      <c r="J17" s="11" t="n">
        <v>8</v>
      </c>
      <c r="K17" s="11"/>
      <c r="L17" s="12" t="n">
        <f aca="false">IF(F17=0,0,C17/F17)</f>
        <v>62.14</v>
      </c>
      <c r="M17" s="12" t="n">
        <f aca="false">IF(G17=0,0,D17/G17)</f>
        <v>50.49</v>
      </c>
      <c r="N17" s="12"/>
      <c r="O17" s="13" t="n">
        <v>0.003</v>
      </c>
      <c r="P17" s="14" t="n">
        <v>0.0106</v>
      </c>
      <c r="Q17" s="14" t="n">
        <v>0</v>
      </c>
      <c r="R17" s="10" t="n">
        <v>7.31</v>
      </c>
      <c r="S17" s="10" t="n">
        <v>0</v>
      </c>
      <c r="T17" s="19" t="n">
        <f aca="false">IF(C17=0,0,R17/C17)</f>
        <v>0.11763759253299</v>
      </c>
      <c r="U17" s="16" t="n">
        <f aca="false">IF(R17=0,0,C17/R17)</f>
        <v>8.50068399452804</v>
      </c>
      <c r="V17" s="17" t="s">
        <v>48</v>
      </c>
      <c r="W17" s="11" t="n">
        <v>165</v>
      </c>
      <c r="X17" s="11" t="n">
        <v>0</v>
      </c>
      <c r="Y17" s="17" t="s">
        <v>53</v>
      </c>
      <c r="Z17" s="11" t="n">
        <v>101772</v>
      </c>
    </row>
    <row r="18" customFormat="false" ht="25.5" hidden="false" customHeight="true" outlineLevel="0" collapsed="false">
      <c r="A18" s="7" t="s">
        <v>54</v>
      </c>
      <c r="B18" s="8" t="s">
        <v>30</v>
      </c>
      <c r="C18" s="9" t="n">
        <v>5715.68</v>
      </c>
      <c r="D18" s="10" t="n">
        <v>8391.54</v>
      </c>
      <c r="E18" s="10" t="n">
        <v>6742.58</v>
      </c>
      <c r="F18" s="11" t="n">
        <v>259</v>
      </c>
      <c r="G18" s="11" t="n">
        <v>420</v>
      </c>
      <c r="H18" s="11" t="n">
        <v>275</v>
      </c>
      <c r="I18" s="11" t="n">
        <v>376</v>
      </c>
      <c r="J18" s="11" t="n">
        <v>585</v>
      </c>
      <c r="K18" s="11" t="n">
        <v>480</v>
      </c>
      <c r="L18" s="12" t="n">
        <f aca="false">IF(F18=0,0,C18/F18)</f>
        <v>22.0682625482626</v>
      </c>
      <c r="M18" s="12" t="n">
        <f aca="false">IF(G18=0,0,D18/G18)</f>
        <v>19.9798571428571</v>
      </c>
      <c r="N18" s="12" t="n">
        <f aca="false">IF(H18=0,0,E18/H18)</f>
        <v>24.5184727272727</v>
      </c>
      <c r="O18" s="13" t="n">
        <v>0.0194</v>
      </c>
      <c r="P18" s="14" t="n">
        <v>0.0259</v>
      </c>
      <c r="Q18" s="14"/>
      <c r="R18" s="10" t="n">
        <v>652.91</v>
      </c>
      <c r="S18" s="10" t="n">
        <v>2937.36</v>
      </c>
      <c r="T18" s="19" t="n">
        <f aca="false">IF(C18=0,0,R18/C18)</f>
        <v>0.114231377543879</v>
      </c>
      <c r="U18" s="16" t="n">
        <f aca="false">IF(R18=0,0,C18/R18)</f>
        <v>8.75416213566954</v>
      </c>
      <c r="V18" s="17" t="s">
        <v>55</v>
      </c>
      <c r="W18" s="11" t="n">
        <v>604</v>
      </c>
      <c r="X18" s="11" t="n">
        <v>9</v>
      </c>
      <c r="Y18" s="17" t="s">
        <v>44</v>
      </c>
      <c r="Z18" s="11" t="n">
        <v>824341</v>
      </c>
    </row>
    <row r="19" customFormat="false" ht="25.5" hidden="false" customHeight="true" outlineLevel="0" collapsed="false">
      <c r="A19" s="7" t="s">
        <v>56</v>
      </c>
      <c r="B19" s="8" t="s">
        <v>30</v>
      </c>
      <c r="C19" s="20" t="n">
        <v>11408.15</v>
      </c>
      <c r="D19" s="10" t="n">
        <v>10289.56</v>
      </c>
      <c r="E19" s="10" t="n">
        <v>9667.73</v>
      </c>
      <c r="F19" s="11" t="n">
        <v>488</v>
      </c>
      <c r="G19" s="11" t="n">
        <v>475</v>
      </c>
      <c r="H19" s="11" t="n">
        <v>448</v>
      </c>
      <c r="I19" s="11" t="n">
        <v>729</v>
      </c>
      <c r="J19" s="11" t="n">
        <v>727</v>
      </c>
      <c r="K19" s="11" t="n">
        <v>656</v>
      </c>
      <c r="L19" s="12" t="n">
        <f aca="false">IF(F19=0,0,C19/F19)</f>
        <v>23.3773565573771</v>
      </c>
      <c r="M19" s="12" t="n">
        <f aca="false">IF(G19=0,0,D19/G19)</f>
        <v>21.6622315789474</v>
      </c>
      <c r="N19" s="12" t="n">
        <f aca="false">IF(H19=0,0,E19/H19)</f>
        <v>21.5797544642857</v>
      </c>
      <c r="O19" s="15" t="n">
        <v>0.032</v>
      </c>
      <c r="P19" s="14" t="n">
        <v>0.03</v>
      </c>
      <c r="Q19" s="14"/>
      <c r="R19" s="10" t="n">
        <v>904.83</v>
      </c>
      <c r="S19" s="10" t="n">
        <v>6239.27</v>
      </c>
      <c r="T19" s="19" t="n">
        <f aca="false">IF(C19=0,0,R19/C19)</f>
        <v>0.0793143498288504</v>
      </c>
      <c r="U19" s="16" t="n">
        <f aca="false">IF(R19=0,0,C19/R19)</f>
        <v>12.6080589724037</v>
      </c>
      <c r="V19" s="17" t="s">
        <v>46</v>
      </c>
      <c r="W19" s="11" t="n">
        <v>535</v>
      </c>
      <c r="X19" s="11" t="n">
        <v>19</v>
      </c>
      <c r="Y19" s="17" t="s">
        <v>42</v>
      </c>
      <c r="Z19" s="11" t="n">
        <v>537264</v>
      </c>
    </row>
    <row r="20" customFormat="false" ht="25.5" hidden="false" customHeight="true" outlineLevel="0" collapsed="false">
      <c r="A20" s="7" t="s">
        <v>56</v>
      </c>
      <c r="B20" s="8" t="s">
        <v>38</v>
      </c>
      <c r="C20" s="10" t="n">
        <v>10.52</v>
      </c>
      <c r="D20" s="10"/>
      <c r="E20" s="10"/>
      <c r="F20" s="11" t="n">
        <v>1</v>
      </c>
      <c r="G20" s="11"/>
      <c r="H20" s="11"/>
      <c r="I20" s="11" t="n">
        <v>2</v>
      </c>
      <c r="J20" s="11"/>
      <c r="K20" s="11"/>
      <c r="L20" s="12" t="n">
        <f aca="false">IF(F20=0,0,C20/F20)</f>
        <v>10.52</v>
      </c>
      <c r="M20" s="12"/>
      <c r="N20" s="12"/>
      <c r="O20" s="14"/>
      <c r="P20" s="14"/>
      <c r="Q20" s="14"/>
      <c r="R20" s="22" t="s">
        <v>39</v>
      </c>
      <c r="S20" s="22" t="s">
        <v>39</v>
      </c>
      <c r="T20" s="22" t="s">
        <v>39</v>
      </c>
      <c r="U20" s="22" t="s">
        <v>39</v>
      </c>
      <c r="V20" s="22" t="s">
        <v>39</v>
      </c>
      <c r="W20" s="11" t="n">
        <v>2</v>
      </c>
      <c r="X20" s="11" t="n">
        <v>0</v>
      </c>
      <c r="Y20" s="17" t="s">
        <v>57</v>
      </c>
      <c r="Z20" s="11" t="n">
        <v>178</v>
      </c>
    </row>
    <row r="21" customFormat="false" ht="25.5" hidden="false" customHeight="true" outlineLevel="0" collapsed="false">
      <c r="A21" s="7" t="s">
        <v>58</v>
      </c>
      <c r="B21" s="8" t="s">
        <v>28</v>
      </c>
      <c r="C21" s="9" t="n">
        <v>7330.82</v>
      </c>
      <c r="D21" s="10" t="n">
        <v>8149.76</v>
      </c>
      <c r="E21" s="10" t="n">
        <v>3974.38</v>
      </c>
      <c r="F21" s="11" t="n">
        <v>337</v>
      </c>
      <c r="G21" s="11" t="n">
        <v>426</v>
      </c>
      <c r="H21" s="11" t="n">
        <v>240</v>
      </c>
      <c r="I21" s="11" t="n">
        <v>495</v>
      </c>
      <c r="J21" s="11" t="n">
        <v>713</v>
      </c>
      <c r="K21" s="11" t="n">
        <v>362</v>
      </c>
      <c r="L21" s="12" t="n">
        <f aca="false">IF(F21=0,0,C21/F21)</f>
        <v>21.753175074184</v>
      </c>
      <c r="M21" s="12" t="n">
        <f aca="false">IF(G21=0,0,D21/G21)</f>
        <v>19.1308920187793</v>
      </c>
      <c r="N21" s="12" t="n">
        <f aca="false">IF(H21=0,0,E21/H21)</f>
        <v>16.5599166666667</v>
      </c>
      <c r="O21" s="13" t="n">
        <v>0.0233</v>
      </c>
      <c r="P21" s="14" t="n">
        <v>0.0253</v>
      </c>
      <c r="Q21" s="14"/>
      <c r="R21" s="22" t="s">
        <v>39</v>
      </c>
      <c r="S21" s="22" t="s">
        <v>39</v>
      </c>
      <c r="T21" s="22" t="s">
        <v>39</v>
      </c>
      <c r="U21" s="22" t="s">
        <v>39</v>
      </c>
      <c r="V21" s="22" t="s">
        <v>39</v>
      </c>
      <c r="W21" s="11" t="n">
        <v>523</v>
      </c>
      <c r="X21" s="11" t="n">
        <v>31</v>
      </c>
      <c r="Y21" s="17" t="s">
        <v>55</v>
      </c>
      <c r="Z21" s="11" t="n">
        <v>1133408</v>
      </c>
    </row>
    <row r="22" customFormat="false" ht="25.5" hidden="false" customHeight="true" outlineLevel="0" collapsed="false">
      <c r="A22" s="7" t="s">
        <v>59</v>
      </c>
      <c r="B22" s="8" t="s">
        <v>28</v>
      </c>
      <c r="C22" s="9" t="n">
        <v>3052.92</v>
      </c>
      <c r="D22" s="10" t="n">
        <v>3383.36</v>
      </c>
      <c r="E22" s="10" t="n">
        <v>4382.34</v>
      </c>
      <c r="F22" s="11" t="n">
        <v>180</v>
      </c>
      <c r="G22" s="11" t="n">
        <v>215</v>
      </c>
      <c r="H22" s="11" t="n">
        <v>207</v>
      </c>
      <c r="I22" s="11" t="n">
        <v>316</v>
      </c>
      <c r="J22" s="11" t="n">
        <v>412</v>
      </c>
      <c r="K22" s="11" t="n">
        <v>359</v>
      </c>
      <c r="L22" s="12" t="n">
        <f aca="false">IF(F22=0,0,C22/F22)</f>
        <v>16.9606666666667</v>
      </c>
      <c r="M22" s="12" t="n">
        <f aca="false">IF(G22=0,0,D22/G22)</f>
        <v>15.7365581395349</v>
      </c>
      <c r="N22" s="12" t="n">
        <f aca="false">IF(H22=0,0,E22/H22)</f>
        <v>21.1707246376812</v>
      </c>
      <c r="O22" s="13" t="n">
        <v>0.0231</v>
      </c>
      <c r="P22" s="14" t="n">
        <v>0.0283</v>
      </c>
      <c r="Q22" s="14"/>
      <c r="R22" s="22" t="s">
        <v>39</v>
      </c>
      <c r="S22" s="22" t="s">
        <v>39</v>
      </c>
      <c r="T22" s="22" t="s">
        <v>39</v>
      </c>
      <c r="U22" s="22" t="s">
        <v>39</v>
      </c>
      <c r="V22" s="22" t="s">
        <v>39</v>
      </c>
      <c r="W22" s="11" t="n">
        <v>467</v>
      </c>
      <c r="X22" s="11" t="n">
        <v>14</v>
      </c>
      <c r="Y22" s="17" t="s">
        <v>47</v>
      </c>
      <c r="Z22" s="11" t="n">
        <v>970293</v>
      </c>
    </row>
    <row r="23" customFormat="false" ht="25.5" hidden="false" customHeight="true" outlineLevel="0" collapsed="false">
      <c r="A23" s="7" t="s">
        <v>60</v>
      </c>
      <c r="B23" s="8" t="s">
        <v>28</v>
      </c>
      <c r="C23" s="18" t="n">
        <v>1804.58</v>
      </c>
      <c r="D23" s="10" t="n">
        <v>1801.32</v>
      </c>
      <c r="E23" s="10" t="n">
        <v>2841.82</v>
      </c>
      <c r="F23" s="11" t="n">
        <v>142</v>
      </c>
      <c r="G23" s="11" t="n">
        <v>130</v>
      </c>
      <c r="H23" s="11" t="n">
        <v>209</v>
      </c>
      <c r="I23" s="11" t="n">
        <v>249</v>
      </c>
      <c r="J23" s="11" t="n">
        <v>223</v>
      </c>
      <c r="K23" s="11" t="n">
        <v>331</v>
      </c>
      <c r="L23" s="12" t="n">
        <f aca="false">IF(F23=0,0,C23/F23)</f>
        <v>12.7083098591549</v>
      </c>
      <c r="M23" s="12" t="n">
        <f aca="false">IF(G23=0,0,D23/G23)</f>
        <v>13.8563076923077</v>
      </c>
      <c r="N23" s="12" t="n">
        <f aca="false">IF(H23=0,0,E23/H23)</f>
        <v>13.5972248803828</v>
      </c>
      <c r="O23" s="13" t="n">
        <v>0.0251</v>
      </c>
      <c r="P23" s="14" t="n">
        <v>0.0261</v>
      </c>
      <c r="Q23" s="14"/>
      <c r="R23" s="22" t="s">
        <v>39</v>
      </c>
      <c r="S23" s="22" t="s">
        <v>39</v>
      </c>
      <c r="T23" s="22" t="s">
        <v>39</v>
      </c>
      <c r="U23" s="22" t="s">
        <v>39</v>
      </c>
      <c r="V23" s="22" t="s">
        <v>39</v>
      </c>
      <c r="W23" s="11" t="n">
        <v>459</v>
      </c>
      <c r="X23" s="11" t="n">
        <v>0</v>
      </c>
      <c r="Y23" s="17" t="s">
        <v>33</v>
      </c>
      <c r="Z23" s="11" t="n">
        <v>727781</v>
      </c>
    </row>
    <row r="24" customFormat="false" ht="25.5" hidden="false" customHeight="true" outlineLevel="0" collapsed="false">
      <c r="A24" s="7" t="s">
        <v>61</v>
      </c>
      <c r="B24" s="8" t="s">
        <v>28</v>
      </c>
      <c r="C24" s="9" t="n">
        <v>1129.7</v>
      </c>
      <c r="D24" s="10" t="n">
        <v>1648.04</v>
      </c>
      <c r="E24" s="10" t="n">
        <v>2715.95</v>
      </c>
      <c r="F24" s="11" t="n">
        <v>55</v>
      </c>
      <c r="G24" s="11" t="n">
        <v>52</v>
      </c>
      <c r="H24" s="11" t="n">
        <v>168</v>
      </c>
      <c r="I24" s="11" t="n">
        <v>87</v>
      </c>
      <c r="J24" s="11" t="n">
        <v>91</v>
      </c>
      <c r="K24" s="11" t="n">
        <v>243</v>
      </c>
      <c r="L24" s="12" t="n">
        <f aca="false">IF(F24=0,0,C24/F24)</f>
        <v>20.54</v>
      </c>
      <c r="M24" s="12" t="n">
        <f aca="false">IF(G24=0,0,D24/G24)</f>
        <v>31.6930769230769</v>
      </c>
      <c r="N24" s="12" t="n">
        <f aca="false">IF(H24=0,0,E24/H24)</f>
        <v>16.166369047619</v>
      </c>
      <c r="O24" s="13" t="n">
        <v>0.018</v>
      </c>
      <c r="P24" s="14" t="n">
        <v>0.0162</v>
      </c>
      <c r="Q24" s="14"/>
      <c r="R24" s="22" t="s">
        <v>39</v>
      </c>
      <c r="S24" s="22" t="s">
        <v>39</v>
      </c>
      <c r="T24" s="22" t="s">
        <v>39</v>
      </c>
      <c r="U24" s="22" t="s">
        <v>39</v>
      </c>
      <c r="V24" s="22" t="s">
        <v>39</v>
      </c>
      <c r="W24" s="11" t="n">
        <v>394</v>
      </c>
      <c r="X24" s="11" t="n">
        <v>0</v>
      </c>
      <c r="Y24" s="17" t="s">
        <v>51</v>
      </c>
      <c r="Z24" s="11" t="n">
        <v>811460</v>
      </c>
    </row>
    <row r="25" customFormat="false" ht="25.5" hidden="false" customHeight="true" outlineLevel="0" collapsed="false">
      <c r="A25" s="7" t="s">
        <v>62</v>
      </c>
      <c r="B25" s="8" t="s">
        <v>35</v>
      </c>
      <c r="C25" s="9" t="n">
        <v>203.29</v>
      </c>
      <c r="D25" s="10" t="n">
        <v>434.64</v>
      </c>
      <c r="E25" s="10" t="n">
        <v>121.45</v>
      </c>
      <c r="F25" s="11" t="n">
        <v>4</v>
      </c>
      <c r="G25" s="11" t="n">
        <v>8</v>
      </c>
      <c r="H25" s="11" t="n">
        <v>2</v>
      </c>
      <c r="I25" s="11" t="n">
        <v>9</v>
      </c>
      <c r="J25" s="11" t="n">
        <v>13</v>
      </c>
      <c r="K25" s="11" t="n">
        <v>3</v>
      </c>
      <c r="L25" s="12" t="n">
        <f aca="false">IF(F25=0,0,C25/F25)</f>
        <v>50.8225</v>
      </c>
      <c r="M25" s="12" t="n">
        <f aca="false">IF(G25=0,0,D25/G25)</f>
        <v>54.33</v>
      </c>
      <c r="N25" s="12" t="n">
        <f aca="false">IF(H25=0,0,E25/H25)</f>
        <v>60.725</v>
      </c>
      <c r="O25" s="14"/>
      <c r="P25" s="14"/>
      <c r="Q25" s="14"/>
      <c r="R25" s="22" t="s">
        <v>39</v>
      </c>
      <c r="S25" s="22" t="s">
        <v>39</v>
      </c>
      <c r="T25" s="22" t="s">
        <v>39</v>
      </c>
      <c r="U25" s="22" t="s">
        <v>39</v>
      </c>
      <c r="V25" s="22" t="s">
        <v>39</v>
      </c>
      <c r="W25" s="11" t="n">
        <v>338</v>
      </c>
      <c r="X25" s="11" t="n">
        <v>0</v>
      </c>
      <c r="Y25" s="17" t="s">
        <v>63</v>
      </c>
      <c r="Z25" s="11" t="n">
        <v>416518</v>
      </c>
    </row>
    <row r="26" customFormat="false" ht="25.5" hidden="false" customHeight="true" outlineLevel="0" collapsed="false">
      <c r="A26" s="7" t="s">
        <v>64</v>
      </c>
      <c r="B26" s="8" t="s">
        <v>28</v>
      </c>
      <c r="C26" s="9" t="n">
        <v>689.24</v>
      </c>
      <c r="D26" s="10" t="n">
        <v>1054.08</v>
      </c>
      <c r="E26" s="10" t="n">
        <v>667.21</v>
      </c>
      <c r="F26" s="11" t="n">
        <v>50</v>
      </c>
      <c r="G26" s="11" t="n">
        <v>58</v>
      </c>
      <c r="H26" s="11" t="n">
        <v>35</v>
      </c>
      <c r="I26" s="11" t="n">
        <v>63</v>
      </c>
      <c r="J26" s="11" t="n">
        <v>85</v>
      </c>
      <c r="K26" s="11" t="n">
        <v>47</v>
      </c>
      <c r="L26" s="12" t="n">
        <f aca="false">IF(F26=0,0,C26/F26)</f>
        <v>13.7848</v>
      </c>
      <c r="M26" s="12" t="n">
        <f aca="false">IF(G26=0,0,D26/G26)</f>
        <v>18.1737931034483</v>
      </c>
      <c r="N26" s="12" t="n">
        <f aca="false">IF(H26=0,0,E26/H26)</f>
        <v>19.0631428571429</v>
      </c>
      <c r="O26" s="13" t="n">
        <v>0.024</v>
      </c>
      <c r="P26" s="14" t="n">
        <v>0.0202</v>
      </c>
      <c r="Q26" s="14"/>
      <c r="R26" s="22" t="s">
        <v>39</v>
      </c>
      <c r="S26" s="22" t="s">
        <v>39</v>
      </c>
      <c r="T26" s="22" t="s">
        <v>39</v>
      </c>
      <c r="U26" s="22" t="s">
        <v>39</v>
      </c>
      <c r="V26" s="22" t="s">
        <v>39</v>
      </c>
      <c r="W26" s="11" t="n">
        <v>243</v>
      </c>
      <c r="X26" s="11" t="n">
        <v>7</v>
      </c>
      <c r="Y26" s="17" t="s">
        <v>65</v>
      </c>
      <c r="Z26" s="11" t="n">
        <v>642464</v>
      </c>
    </row>
    <row r="27" customFormat="false" ht="25.5" hidden="false" customHeight="true" outlineLevel="0" collapsed="false">
      <c r="A27" s="7" t="s">
        <v>66</v>
      </c>
      <c r="B27" s="8" t="s">
        <v>30</v>
      </c>
      <c r="C27" s="20" t="n">
        <v>460.53</v>
      </c>
      <c r="D27" s="10" t="n">
        <v>280.22</v>
      </c>
      <c r="E27" s="10" t="n">
        <v>257.38</v>
      </c>
      <c r="F27" s="11" t="n">
        <v>19</v>
      </c>
      <c r="G27" s="11" t="n">
        <v>12</v>
      </c>
      <c r="H27" s="11" t="n">
        <v>13</v>
      </c>
      <c r="I27" s="11" t="n">
        <v>26</v>
      </c>
      <c r="J27" s="11" t="n">
        <v>15</v>
      </c>
      <c r="K27" s="11" t="n">
        <v>21</v>
      </c>
      <c r="L27" s="12" t="n">
        <f aca="false">IF(F27=0,0,C27/F27)</f>
        <v>24.2384210526316</v>
      </c>
      <c r="M27" s="12" t="n">
        <f aca="false">IF(G27=0,0,D27/G27)</f>
        <v>23.3516666666667</v>
      </c>
      <c r="N27" s="12" t="n">
        <f aca="false">IF(H27=0,0,E27/H27)</f>
        <v>19.7984615384615</v>
      </c>
      <c r="O27" s="13" t="n">
        <v>0.0124</v>
      </c>
      <c r="P27" s="14" t="n">
        <v>0.0082</v>
      </c>
      <c r="Q27" s="14"/>
      <c r="R27" s="22" t="s">
        <v>39</v>
      </c>
      <c r="S27" s="22" t="s">
        <v>39</v>
      </c>
      <c r="T27" s="22" t="s">
        <v>39</v>
      </c>
      <c r="U27" s="22" t="s">
        <v>39</v>
      </c>
      <c r="V27" s="22" t="s">
        <v>39</v>
      </c>
      <c r="W27" s="11" t="n">
        <v>147</v>
      </c>
      <c r="X27" s="11" t="n">
        <v>27</v>
      </c>
      <c r="Y27" s="17" t="s">
        <v>67</v>
      </c>
      <c r="Z27" s="11" t="n">
        <v>222349</v>
      </c>
    </row>
    <row r="28" customFormat="false" ht="25.5" hidden="false" customHeight="true" outlineLevel="0" collapsed="false">
      <c r="A28" s="23" t="s">
        <v>68</v>
      </c>
      <c r="B28" s="23"/>
      <c r="C28" s="24" t="n">
        <f aca="false">SUM(C6:C27)</f>
        <v>95455.18</v>
      </c>
      <c r="D28" s="24" t="n">
        <f aca="false">SUM(D6:D27)</f>
        <v>108914.37</v>
      </c>
      <c r="E28" s="24" t="n">
        <f aca="false">SUM(E6:E27)</f>
        <v>109600.21</v>
      </c>
      <c r="F28" s="25" t="n">
        <f aca="false">SUM(F6:F27)</f>
        <v>4625</v>
      </c>
      <c r="G28" s="25" t="n">
        <f aca="false">SUM(G6:G27)</f>
        <v>5468</v>
      </c>
      <c r="H28" s="25" t="n">
        <f aca="false">SUM(H6:H27)</f>
        <v>5725</v>
      </c>
      <c r="I28" s="25" t="n">
        <f aca="false">SUM(I6:I27)</f>
        <v>7330</v>
      </c>
      <c r="J28" s="25" t="n">
        <f aca="false">SUM(J6:J27)</f>
        <v>9065</v>
      </c>
      <c r="K28" s="25" t="n">
        <f aca="false">SUM(K6:K27)</f>
        <v>9427</v>
      </c>
      <c r="L28" s="26" t="n">
        <f aca="false">IF(F28=0,0,C28/F28)</f>
        <v>20.6389578378378</v>
      </c>
      <c r="M28" s="27"/>
      <c r="N28" s="27"/>
      <c r="O28" s="27"/>
      <c r="P28" s="27"/>
      <c r="Q28" s="27"/>
      <c r="R28" s="24" t="n">
        <f aca="false">SUM(R6:R27)</f>
        <v>7788.75</v>
      </c>
      <c r="S28" s="24" t="n">
        <f aca="false">SUM(S6:S27)</f>
        <v>42100.97</v>
      </c>
      <c r="T28" s="28" t="n">
        <f aca="false">IF(C28=0,0,R28/C28)</f>
        <v>0.0815958861530616</v>
      </c>
      <c r="U28" s="29" t="n">
        <f aca="false">IF(R28=0,0,C28/R28)</f>
        <v>12.2555198202536</v>
      </c>
      <c r="V28" s="27"/>
      <c r="W28" s="25" t="n">
        <f aca="false">SUM(W6:W27)</f>
        <v>12799</v>
      </c>
      <c r="X28" s="25" t="n">
        <f aca="false">SUM(X6:X27)</f>
        <v>248</v>
      </c>
      <c r="Y28" s="27"/>
      <c r="Z28" s="25" t="n">
        <f aca="false">SUM(Z6:Z27)</f>
        <v>16882502</v>
      </c>
    </row>
  </sheetData>
  <mergeCells count="3">
    <mergeCell ref="C4:Q4"/>
    <mergeCell ref="R4:V4"/>
    <mergeCell ref="W4: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4" min="3" style="0" width="10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8"/>
  </cols>
  <sheetData>
    <row r="1" customFormat="false" ht="91.55" hidden="false" customHeight="false" outlineLevel="0" collapsed="false">
      <c r="A1" s="30" t="s">
        <v>69</v>
      </c>
    </row>
    <row r="3" customFormat="false" ht="25.3" hidden="false" customHeight="false" outlineLevel="0" collapsed="false">
      <c r="A3" s="31" t="s">
        <v>70</v>
      </c>
      <c r="B3" s="31" t="s">
        <v>9</v>
      </c>
      <c r="C3" s="31" t="s">
        <v>12</v>
      </c>
      <c r="D3" s="31" t="s">
        <v>15</v>
      </c>
      <c r="E3" s="31" t="s">
        <v>71</v>
      </c>
      <c r="F3" s="31" t="s">
        <v>19</v>
      </c>
      <c r="G3" s="31" t="s">
        <v>20</v>
      </c>
      <c r="H3" s="31" t="s">
        <v>21</v>
      </c>
      <c r="I3" s="31" t="s">
        <v>72</v>
      </c>
    </row>
    <row r="4" customFormat="false" ht="15" hidden="false" customHeight="false" outlineLevel="0" collapsed="false">
      <c r="A4" s="7" t="s">
        <v>73</v>
      </c>
      <c r="B4" s="10" t="n">
        <v>65520.54</v>
      </c>
      <c r="C4" s="11" t="n">
        <v>3361</v>
      </c>
      <c r="D4" s="11" t="n">
        <v>5395</v>
      </c>
      <c r="E4" s="10" t="n">
        <v>5123.88</v>
      </c>
      <c r="F4" s="10" t="n">
        <v>27829.92</v>
      </c>
      <c r="G4" s="14" t="n">
        <f aca="false">IF(B4=0,0,E4/B4)</f>
        <v>0.0782026521759436</v>
      </c>
      <c r="H4" s="32" t="n">
        <f aca="false">IF(E4=0,0,B4/E4)</f>
        <v>12.7872901004707</v>
      </c>
      <c r="I4" s="11" t="n">
        <v>8</v>
      </c>
    </row>
    <row r="5" customFormat="false" ht="15" hidden="false" customHeight="false" outlineLevel="0" collapsed="false">
      <c r="A5" s="7" t="s">
        <v>74</v>
      </c>
      <c r="B5" s="10" t="n">
        <v>28412.18</v>
      </c>
      <c r="C5" s="11" t="n">
        <v>1237</v>
      </c>
      <c r="D5" s="11" t="n">
        <v>1884</v>
      </c>
      <c r="E5" s="10" t="n">
        <v>2610.52</v>
      </c>
      <c r="F5" s="10" t="n">
        <v>13961.78</v>
      </c>
      <c r="G5" s="14" t="n">
        <f aca="false">IF(B5=0,0,E5/B5)</f>
        <v>0.0918803133022528</v>
      </c>
      <c r="H5" s="32" t="n">
        <f aca="false">IF(E5=0,0,B5/E5)</f>
        <v>10.8837243154621</v>
      </c>
      <c r="I5" s="11" t="n">
        <v>6</v>
      </c>
    </row>
    <row r="6" customFormat="false" ht="15" hidden="false" customHeight="false" outlineLevel="0" collapsed="false">
      <c r="A6" s="7" t="s">
        <v>75</v>
      </c>
      <c r="B6" s="10" t="n">
        <v>317.29</v>
      </c>
      <c r="C6" s="11" t="n">
        <v>4</v>
      </c>
      <c r="D6" s="11" t="n">
        <v>11</v>
      </c>
      <c r="E6" s="10" t="n">
        <v>17.93</v>
      </c>
      <c r="F6" s="10" t="n">
        <v>115.92</v>
      </c>
      <c r="G6" s="14" t="n">
        <f aca="false">IF(B6=0,0,E6/B6)</f>
        <v>0.0565098175170979</v>
      </c>
      <c r="H6" s="32" t="n">
        <f aca="false">IF(E6=0,0,B6/E6)</f>
        <v>17.6960401561629</v>
      </c>
      <c r="I6" s="11" t="n">
        <v>2</v>
      </c>
    </row>
    <row r="7" customFormat="false" ht="15" hidden="false" customHeight="false" outlineLevel="0" collapsed="false">
      <c r="A7" s="7" t="s">
        <v>76</v>
      </c>
      <c r="B7" s="10" t="n">
        <v>139.35</v>
      </c>
      <c r="C7" s="11" t="n">
        <v>3</v>
      </c>
      <c r="D7" s="11" t="n">
        <v>6</v>
      </c>
      <c r="E7" s="17" t="s">
        <v>39</v>
      </c>
      <c r="F7" s="17" t="s">
        <v>39</v>
      </c>
      <c r="G7" s="17" t="s">
        <v>39</v>
      </c>
      <c r="H7" s="17" t="s">
        <v>39</v>
      </c>
      <c r="I7" s="11" t="n">
        <v>2</v>
      </c>
    </row>
    <row r="8" customFormat="false" ht="15" hidden="false" customHeight="false" outlineLevel="0" collapsed="false">
      <c r="A8" s="7" t="s">
        <v>77</v>
      </c>
      <c r="B8" s="10" t="n">
        <v>0</v>
      </c>
      <c r="C8" s="11" t="n">
        <v>0</v>
      </c>
      <c r="D8" s="11" t="n">
        <v>0</v>
      </c>
      <c r="E8" s="17" t="s">
        <v>39</v>
      </c>
      <c r="F8" s="17" t="s">
        <v>39</v>
      </c>
      <c r="G8" s="17" t="s">
        <v>39</v>
      </c>
      <c r="H8" s="17" t="s">
        <v>39</v>
      </c>
      <c r="I8" s="11" t="n">
        <v>0</v>
      </c>
    </row>
    <row r="9" customFormat="false" ht="15" hidden="false" customHeight="false" outlineLevel="0" collapsed="false">
      <c r="A9" s="7" t="s">
        <v>78</v>
      </c>
      <c r="B9" s="10" t="n">
        <v>833.98</v>
      </c>
      <c r="C9" s="11" t="n">
        <v>18</v>
      </c>
      <c r="D9" s="11" t="n">
        <v>31</v>
      </c>
      <c r="E9" s="10" t="n">
        <v>32.47</v>
      </c>
      <c r="F9" s="10" t="n">
        <v>95.73</v>
      </c>
      <c r="G9" s="14" t="n">
        <f aca="false">IF(B9=0,0,E9/B9)</f>
        <v>0.0389337873809923</v>
      </c>
      <c r="H9" s="32" t="n">
        <f aca="false">IF(E9=0,0,B9/E9)</f>
        <v>25.6846319679704</v>
      </c>
      <c r="I9" s="11" t="n">
        <v>3</v>
      </c>
    </row>
    <row r="10" customFormat="false" ht="15" hidden="false" customHeight="false" outlineLevel="0" collapsed="false">
      <c r="A10" s="7" t="s">
        <v>79</v>
      </c>
      <c r="B10" s="10" t="n">
        <v>231.84</v>
      </c>
      <c r="C10" s="11" t="n">
        <v>2</v>
      </c>
      <c r="D10" s="11" t="n">
        <v>3</v>
      </c>
      <c r="E10" s="10" t="n">
        <v>3.95</v>
      </c>
      <c r="F10" s="10" t="n">
        <v>97.62</v>
      </c>
      <c r="G10" s="14" t="n">
        <f aca="false">IF(B10=0,0,E10/B10)</f>
        <v>0.0170376121463078</v>
      </c>
      <c r="H10" s="32" t="n">
        <f aca="false">IF(E10=0,0,B10/E10)</f>
        <v>58.693670886076</v>
      </c>
      <c r="I10" s="1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40"/>
  </cols>
  <sheetData>
    <row r="1" customFormat="false" ht="16.25" hidden="false" customHeight="false" outlineLevel="0" collapsed="false">
      <c r="A1" s="33" t="s">
        <v>80</v>
      </c>
    </row>
    <row r="3" customFormat="false" ht="15" hidden="false" customHeight="true" outlineLevel="0" collapsed="false">
      <c r="A3" s="34" t="s">
        <v>81</v>
      </c>
      <c r="B3" s="34"/>
      <c r="C3" s="34"/>
      <c r="D3" s="34"/>
      <c r="E3" s="34"/>
      <c r="F3" s="34"/>
      <c r="G3" s="34"/>
      <c r="H3" s="34"/>
    </row>
    <row r="4" customFormat="false" ht="15" hidden="false" customHeight="true" outlineLevel="0" collapsed="false">
      <c r="A4" s="34" t="s">
        <v>82</v>
      </c>
      <c r="B4" s="34"/>
      <c r="C4" s="34"/>
      <c r="D4" s="34"/>
      <c r="E4" s="34"/>
      <c r="F4" s="34"/>
      <c r="G4" s="34"/>
      <c r="H4" s="34"/>
    </row>
    <row r="5" customFormat="false" ht="15" hidden="false" customHeight="true" outlineLevel="0" collapsed="false">
      <c r="A5" s="34" t="s">
        <v>83</v>
      </c>
      <c r="B5" s="34"/>
      <c r="C5" s="34"/>
      <c r="D5" s="34"/>
      <c r="E5" s="34"/>
      <c r="F5" s="34"/>
      <c r="G5" s="34"/>
      <c r="H5" s="34"/>
    </row>
    <row r="6" customFormat="false" ht="15" hidden="false" customHeight="true" outlineLevel="0" collapsed="false">
      <c r="A6" s="34" t="s">
        <v>84</v>
      </c>
      <c r="B6" s="34"/>
      <c r="C6" s="34"/>
      <c r="D6" s="34"/>
      <c r="E6" s="34"/>
      <c r="F6" s="34"/>
      <c r="G6" s="34"/>
      <c r="H6" s="34"/>
    </row>
    <row r="7" customFormat="false" ht="25.3" hidden="false" customHeight="true" outlineLevel="0" collapsed="false">
      <c r="A7" s="34" t="s">
        <v>85</v>
      </c>
      <c r="B7" s="34"/>
      <c r="C7" s="34"/>
      <c r="D7" s="34"/>
      <c r="E7" s="34"/>
      <c r="F7" s="34"/>
      <c r="G7" s="34"/>
      <c r="H7" s="34"/>
    </row>
    <row r="8" customFormat="false" ht="15" hidden="false" customHeight="true" outlineLevel="0" collapsed="false">
      <c r="A8" s="34" t="s">
        <v>86</v>
      </c>
      <c r="B8" s="34"/>
      <c r="C8" s="34"/>
      <c r="D8" s="34"/>
      <c r="E8" s="34"/>
      <c r="F8" s="34"/>
      <c r="G8" s="34"/>
      <c r="H8" s="34"/>
    </row>
    <row r="9" customFormat="false" ht="25.3" hidden="false" customHeight="true" outlineLevel="0" collapsed="false">
      <c r="A9" s="34" t="s">
        <v>87</v>
      </c>
      <c r="B9" s="34"/>
      <c r="C9" s="34"/>
      <c r="D9" s="34"/>
      <c r="E9" s="34"/>
      <c r="F9" s="34"/>
      <c r="G9" s="34"/>
      <c r="H9" s="34"/>
    </row>
    <row r="10" customFormat="false" ht="15" hidden="false" customHeight="true" outlineLevel="0" collapsed="false">
      <c r="A10" s="34" t="s">
        <v>88</v>
      </c>
      <c r="B10" s="34"/>
      <c r="C10" s="34"/>
      <c r="D10" s="34"/>
      <c r="E10" s="34"/>
      <c r="F10" s="34"/>
      <c r="G10" s="34"/>
      <c r="H10" s="34"/>
    </row>
    <row r="11" customFormat="false" ht="15" hidden="false" customHeight="true" outlineLevel="0" collapsed="false">
      <c r="A11" s="34" t="s">
        <v>89</v>
      </c>
      <c r="B11" s="34"/>
      <c r="C11" s="34"/>
      <c r="D11" s="34"/>
      <c r="E11" s="34"/>
      <c r="F11" s="34"/>
      <c r="G11" s="34"/>
      <c r="H11" s="34"/>
    </row>
    <row r="12" customFormat="false" ht="25.3" hidden="false" customHeight="true" outlineLevel="0" collapsed="false">
      <c r="A12" s="34" t="s">
        <v>90</v>
      </c>
      <c r="B12" s="34"/>
      <c r="C12" s="34"/>
      <c r="D12" s="34"/>
      <c r="E12" s="34"/>
      <c r="F12" s="34"/>
      <c r="G12" s="34"/>
      <c r="H12" s="34"/>
    </row>
    <row r="13" customFormat="false" ht="15" hidden="false" customHeight="true" outlineLevel="0" collapsed="false">
      <c r="A13" s="34" t="s">
        <v>91</v>
      </c>
      <c r="B13" s="34"/>
      <c r="C13" s="34"/>
      <c r="D13" s="34"/>
      <c r="E13" s="34"/>
      <c r="F13" s="34"/>
      <c r="G13" s="34"/>
      <c r="H13" s="34"/>
    </row>
  </sheetData>
  <mergeCells count="11"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2026-07-20T03:12:42Z</dcterms:created>
  <dc:creator>openpyxl</dc:creator>
  <dc:description/>
  <dc:language>en-US</dc:language>
  <cp:lastModifiedBy/>
  <dcterms:modified xsi:type="dcterms:W3CDTF">2026-07-20T03:12:42Z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