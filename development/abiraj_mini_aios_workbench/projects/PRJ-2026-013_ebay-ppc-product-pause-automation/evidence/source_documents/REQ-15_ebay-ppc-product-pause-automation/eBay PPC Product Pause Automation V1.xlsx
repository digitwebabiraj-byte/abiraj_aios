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osanthan\Downloads\"/>
    </mc:Choice>
  </mc:AlternateContent>
  <xr:revisionPtr revIDLastSave="0" documentId="13_ncr:1_{377680B4-0649-41B3-B768-7AC196A0FC0D}" xr6:coauthVersionLast="47" xr6:coauthVersionMax="47" xr10:uidLastSave="{00000000-0000-0000-0000-000000000000}"/>
  <bookViews>
    <workbookView xWindow="23880" yWindow="-120" windowWidth="29040" windowHeight="15720" tabRatio="500" xr2:uid="{00000000-000D-0000-FFFF-FFFF00000000}"/>
  </bookViews>
  <sheets>
    <sheet name="Dashboard" sheetId="1" r:id="rId1"/>
    <sheet name="Pause Log" sheetId="2" r:id="rId2"/>
    <sheet name="Input Data" sheetId="3" r:id="rId3"/>
    <sheet name="Pause Rules" sheetId="4" r:id="rId4"/>
    <sheet name="Custom Rules" sheetId="5" r:id="rId5"/>
  </sheets>
  <definedNames>
    <definedName name="_xlnm._FilterDatabase" localSheetId="2" hidden="1">'Input Data'!$A$2:$N$44</definedName>
    <definedName name="_xlnm._FilterDatabase" localSheetId="1" hidden="1">'Pause Log'!$A$2:$J$44</definedName>
  </definedName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4" l="1"/>
  <c r="B12" i="4"/>
  <c r="B11" i="4"/>
  <c r="O44" i="2"/>
  <c r="N44" i="2"/>
  <c r="M44" i="2"/>
  <c r="L44" i="2"/>
  <c r="E44" i="2"/>
  <c r="D44" i="2"/>
  <c r="C44" i="2"/>
  <c r="O43" i="2"/>
  <c r="E43" i="2" s="1"/>
  <c r="N43" i="2"/>
  <c r="M43" i="2"/>
  <c r="L43" i="2"/>
  <c r="G43" i="2" s="1"/>
  <c r="D43" i="2"/>
  <c r="C43" i="2"/>
  <c r="O42" i="2"/>
  <c r="N42" i="2"/>
  <c r="M42" i="2"/>
  <c r="L42" i="2"/>
  <c r="P42" i="2" s="1"/>
  <c r="F42" i="2" s="1"/>
  <c r="E42" i="2"/>
  <c r="D42" i="2"/>
  <c r="C42" i="2"/>
  <c r="O41" i="2"/>
  <c r="N41" i="2"/>
  <c r="M41" i="2"/>
  <c r="E41" i="2" s="1"/>
  <c r="L41" i="2"/>
  <c r="P41" i="2" s="1"/>
  <c r="D41" i="2"/>
  <c r="C41" i="2"/>
  <c r="O40" i="2"/>
  <c r="N40" i="2"/>
  <c r="E40" i="2" s="1"/>
  <c r="M40" i="2"/>
  <c r="L40" i="2"/>
  <c r="G40" i="2"/>
  <c r="D40" i="2"/>
  <c r="C40" i="2"/>
  <c r="O39" i="2"/>
  <c r="N39" i="2"/>
  <c r="M39" i="2"/>
  <c r="G39" i="2" s="1"/>
  <c r="L39" i="2"/>
  <c r="P39" i="2" s="1"/>
  <c r="D39" i="2"/>
  <c r="C39" i="2"/>
  <c r="O38" i="2"/>
  <c r="N38" i="2"/>
  <c r="M38" i="2"/>
  <c r="L38" i="2"/>
  <c r="P38" i="2" s="1"/>
  <c r="F38" i="2" s="1"/>
  <c r="E38" i="2"/>
  <c r="D38" i="2"/>
  <c r="C38" i="2"/>
  <c r="O37" i="2"/>
  <c r="N37" i="2"/>
  <c r="M37" i="2"/>
  <c r="E37" i="2" s="1"/>
  <c r="L37" i="2"/>
  <c r="P37" i="2" s="1"/>
  <c r="D37" i="2"/>
  <c r="C37" i="2"/>
  <c r="O36" i="2"/>
  <c r="N36" i="2"/>
  <c r="E36" i="2" s="1"/>
  <c r="M36" i="2"/>
  <c r="L36" i="2"/>
  <c r="G36" i="2"/>
  <c r="D36" i="2"/>
  <c r="C36" i="2"/>
  <c r="O35" i="2"/>
  <c r="N35" i="2"/>
  <c r="M35" i="2"/>
  <c r="G35" i="2" s="1"/>
  <c r="L35" i="2"/>
  <c r="P35" i="2" s="1"/>
  <c r="D35" i="2"/>
  <c r="C35" i="2"/>
  <c r="O34" i="2"/>
  <c r="N34" i="2"/>
  <c r="M34" i="2"/>
  <c r="L34" i="2"/>
  <c r="P34" i="2" s="1"/>
  <c r="F34" i="2" s="1"/>
  <c r="E34" i="2"/>
  <c r="D34" i="2"/>
  <c r="C34" i="2"/>
  <c r="O33" i="2"/>
  <c r="N33" i="2"/>
  <c r="M33" i="2"/>
  <c r="E33" i="2" s="1"/>
  <c r="L33" i="2"/>
  <c r="P33" i="2" s="1"/>
  <c r="D33" i="2"/>
  <c r="C33" i="2"/>
  <c r="O32" i="2"/>
  <c r="N32" i="2"/>
  <c r="E32" i="2" s="1"/>
  <c r="M32" i="2"/>
  <c r="L32" i="2"/>
  <c r="G32" i="2"/>
  <c r="D32" i="2"/>
  <c r="C32" i="2"/>
  <c r="O31" i="2"/>
  <c r="N31" i="2"/>
  <c r="M31" i="2"/>
  <c r="G31" i="2" s="1"/>
  <c r="L31" i="2"/>
  <c r="P31" i="2" s="1"/>
  <c r="D31" i="2"/>
  <c r="C31" i="2"/>
  <c r="O30" i="2"/>
  <c r="N30" i="2"/>
  <c r="M30" i="2"/>
  <c r="L30" i="2"/>
  <c r="P30" i="2" s="1"/>
  <c r="F30" i="2" s="1"/>
  <c r="E30" i="2"/>
  <c r="D30" i="2"/>
  <c r="C30" i="2"/>
  <c r="O29" i="2"/>
  <c r="N29" i="2"/>
  <c r="M29" i="2"/>
  <c r="E29" i="2" s="1"/>
  <c r="L29" i="2"/>
  <c r="P29" i="2" s="1"/>
  <c r="D29" i="2"/>
  <c r="C29" i="2"/>
  <c r="O28" i="2"/>
  <c r="N28" i="2"/>
  <c r="E28" i="2" s="1"/>
  <c r="M28" i="2"/>
  <c r="L28" i="2"/>
  <c r="G28" i="2"/>
  <c r="D28" i="2"/>
  <c r="C28" i="2"/>
  <c r="O27" i="2"/>
  <c r="N27" i="2"/>
  <c r="M27" i="2"/>
  <c r="G27" i="2" s="1"/>
  <c r="L27" i="2"/>
  <c r="P27" i="2" s="1"/>
  <c r="D27" i="2"/>
  <c r="C27" i="2"/>
  <c r="O26" i="2"/>
  <c r="N26" i="2"/>
  <c r="M26" i="2"/>
  <c r="L26" i="2"/>
  <c r="P26" i="2" s="1"/>
  <c r="F26" i="2" s="1"/>
  <c r="E26" i="2"/>
  <c r="D26" i="2"/>
  <c r="C26" i="2"/>
  <c r="O25" i="2"/>
  <c r="N25" i="2"/>
  <c r="M25" i="2"/>
  <c r="L25" i="2"/>
  <c r="P25" i="2" s="1"/>
  <c r="F25" i="2" s="1"/>
  <c r="H25" i="2"/>
  <c r="E25" i="2"/>
  <c r="D25" i="2"/>
  <c r="C25" i="2"/>
  <c r="O24" i="2"/>
  <c r="N24" i="2"/>
  <c r="M24" i="2"/>
  <c r="L24" i="2"/>
  <c r="H24" i="2" s="1"/>
  <c r="G24" i="2"/>
  <c r="E24" i="2"/>
  <c r="D24" i="2"/>
  <c r="C24" i="2"/>
  <c r="O23" i="2"/>
  <c r="N23" i="2"/>
  <c r="M23" i="2"/>
  <c r="L23" i="2"/>
  <c r="P23" i="2" s="1"/>
  <c r="F23" i="2" s="1"/>
  <c r="H23" i="2"/>
  <c r="G23" i="2"/>
  <c r="E23" i="2"/>
  <c r="D23" i="2"/>
  <c r="C23" i="2"/>
  <c r="O22" i="2"/>
  <c r="N22" i="2"/>
  <c r="M22" i="2"/>
  <c r="L22" i="2"/>
  <c r="P22" i="2" s="1"/>
  <c r="F22" i="2" s="1"/>
  <c r="E22" i="2"/>
  <c r="D22" i="2"/>
  <c r="C22" i="2"/>
  <c r="O21" i="2"/>
  <c r="N21" i="2"/>
  <c r="M21" i="2"/>
  <c r="L21" i="2"/>
  <c r="P21" i="2" s="1"/>
  <c r="F21" i="2" s="1"/>
  <c r="H21" i="2"/>
  <c r="E21" i="2"/>
  <c r="D21" i="2"/>
  <c r="C21" i="2"/>
  <c r="O20" i="2"/>
  <c r="N20" i="2"/>
  <c r="M20" i="2"/>
  <c r="L20" i="2"/>
  <c r="H20" i="2" s="1"/>
  <c r="G20" i="2"/>
  <c r="E20" i="2"/>
  <c r="D20" i="2"/>
  <c r="C20" i="2"/>
  <c r="O19" i="2"/>
  <c r="N19" i="2"/>
  <c r="M19" i="2"/>
  <c r="L19" i="2"/>
  <c r="P19" i="2" s="1"/>
  <c r="F19" i="2" s="1"/>
  <c r="H19" i="2"/>
  <c r="G19" i="2"/>
  <c r="E19" i="2"/>
  <c r="D19" i="2"/>
  <c r="C19" i="2"/>
  <c r="O18" i="2"/>
  <c r="N18" i="2"/>
  <c r="M18" i="2"/>
  <c r="L18" i="2"/>
  <c r="P18" i="2" s="1"/>
  <c r="F18" i="2" s="1"/>
  <c r="E18" i="2"/>
  <c r="D18" i="2"/>
  <c r="C18" i="2"/>
  <c r="O17" i="2"/>
  <c r="N17" i="2"/>
  <c r="M17" i="2"/>
  <c r="E17" i="2" s="1"/>
  <c r="L17" i="2"/>
  <c r="P17" i="2" s="1"/>
  <c r="D17" i="2"/>
  <c r="C17" i="2"/>
  <c r="O16" i="2"/>
  <c r="N16" i="2"/>
  <c r="M16" i="2"/>
  <c r="L16" i="2"/>
  <c r="E16" i="2"/>
  <c r="D16" i="2"/>
  <c r="C16" i="2"/>
  <c r="O15" i="2"/>
  <c r="N15" i="2"/>
  <c r="M15" i="2"/>
  <c r="G15" i="2" s="1"/>
  <c r="L15" i="2"/>
  <c r="P15" i="2" s="1"/>
  <c r="D15" i="2"/>
  <c r="C15" i="2"/>
  <c r="O14" i="2"/>
  <c r="N14" i="2"/>
  <c r="M14" i="2"/>
  <c r="L14" i="2"/>
  <c r="P14" i="2" s="1"/>
  <c r="F14" i="2" s="1"/>
  <c r="G14" i="2"/>
  <c r="E14" i="2"/>
  <c r="D14" i="2"/>
  <c r="C14" i="2"/>
  <c r="O13" i="2"/>
  <c r="N13" i="2"/>
  <c r="M13" i="2"/>
  <c r="E13" i="2" s="1"/>
  <c r="L13" i="2"/>
  <c r="P13" i="2" s="1"/>
  <c r="D13" i="2"/>
  <c r="C13" i="2"/>
  <c r="O12" i="2"/>
  <c r="N12" i="2"/>
  <c r="M12" i="2"/>
  <c r="L12" i="2"/>
  <c r="E12" i="2"/>
  <c r="D12" i="2"/>
  <c r="C12" i="2"/>
  <c r="O11" i="2"/>
  <c r="N11" i="2"/>
  <c r="M11" i="2"/>
  <c r="G11" i="2" s="1"/>
  <c r="L11" i="2"/>
  <c r="P11" i="2" s="1"/>
  <c r="D11" i="2"/>
  <c r="C11" i="2"/>
  <c r="O10" i="2"/>
  <c r="N10" i="2"/>
  <c r="E10" i="2" s="1"/>
  <c r="M10" i="2"/>
  <c r="L10" i="2"/>
  <c r="P10" i="2" s="1"/>
  <c r="G10" i="2"/>
  <c r="D10" i="2"/>
  <c r="C10" i="2"/>
  <c r="O9" i="2"/>
  <c r="N9" i="2"/>
  <c r="M9" i="2"/>
  <c r="E9" i="2" s="1"/>
  <c r="L9" i="2"/>
  <c r="P9" i="2" s="1"/>
  <c r="D9" i="2"/>
  <c r="C9" i="2"/>
  <c r="O8" i="2"/>
  <c r="N8" i="2"/>
  <c r="M8" i="2"/>
  <c r="L8" i="2"/>
  <c r="E8" i="2"/>
  <c r="D8" i="2"/>
  <c r="C8" i="2"/>
  <c r="O7" i="2"/>
  <c r="N7" i="2"/>
  <c r="M7" i="2"/>
  <c r="G7" i="2" s="1"/>
  <c r="L7" i="2"/>
  <c r="P7" i="2" s="1"/>
  <c r="D7" i="2"/>
  <c r="C7" i="2"/>
  <c r="O6" i="2"/>
  <c r="N6" i="2"/>
  <c r="M6" i="2"/>
  <c r="L6" i="2"/>
  <c r="P6" i="2" s="1"/>
  <c r="F6" i="2" s="1"/>
  <c r="G6" i="2"/>
  <c r="E6" i="2"/>
  <c r="D6" i="2"/>
  <c r="C6" i="2"/>
  <c r="O5" i="2"/>
  <c r="N5" i="2"/>
  <c r="M5" i="2"/>
  <c r="E5" i="2" s="1"/>
  <c r="L5" i="2"/>
  <c r="P5" i="2" s="1"/>
  <c r="D5" i="2"/>
  <c r="C5" i="2"/>
  <c r="O4" i="2"/>
  <c r="N4" i="2"/>
  <c r="M4" i="2"/>
  <c r="L4" i="2"/>
  <c r="D4" i="2"/>
  <c r="C4" i="2"/>
  <c r="O3" i="2"/>
  <c r="N3" i="2"/>
  <c r="M3" i="2"/>
  <c r="G3" i="2" s="1"/>
  <c r="L3" i="2"/>
  <c r="P3" i="2" s="1"/>
  <c r="D3" i="2"/>
  <c r="C3" i="2"/>
  <c r="B17" i="1"/>
  <c r="B6" i="1"/>
  <c r="H9" i="2" l="1"/>
  <c r="F9" i="2"/>
  <c r="F15" i="2"/>
  <c r="H15" i="2"/>
  <c r="F31" i="2"/>
  <c r="H31" i="2"/>
  <c r="F39" i="2"/>
  <c r="H39" i="2"/>
  <c r="H3" i="2"/>
  <c r="H5" i="2"/>
  <c r="F5" i="2"/>
  <c r="H11" i="2"/>
  <c r="H17" i="2"/>
  <c r="F17" i="2"/>
  <c r="H33" i="2"/>
  <c r="F33" i="2"/>
  <c r="H41" i="2"/>
  <c r="F41" i="2"/>
  <c r="H13" i="2"/>
  <c r="F13" i="2"/>
  <c r="F27" i="2"/>
  <c r="H27" i="2"/>
  <c r="F35" i="2"/>
  <c r="H35" i="2"/>
  <c r="H4" i="2"/>
  <c r="H7" i="2"/>
  <c r="F10" i="2"/>
  <c r="H29" i="2"/>
  <c r="F29" i="2"/>
  <c r="H32" i="2"/>
  <c r="H37" i="2"/>
  <c r="F37" i="2"/>
  <c r="G18" i="2"/>
  <c r="P20" i="2"/>
  <c r="F20" i="2" s="1"/>
  <c r="G22" i="2"/>
  <c r="P24" i="2"/>
  <c r="F24" i="2" s="1"/>
  <c r="G26" i="2"/>
  <c r="P28" i="2"/>
  <c r="F28" i="2" s="1"/>
  <c r="G30" i="2"/>
  <c r="P32" i="2"/>
  <c r="F32" i="2" s="1"/>
  <c r="G34" i="2"/>
  <c r="P36" i="2"/>
  <c r="F36" i="2" s="1"/>
  <c r="G38" i="2"/>
  <c r="P40" i="2"/>
  <c r="F40" i="2" s="1"/>
  <c r="G42" i="2"/>
  <c r="P44" i="2"/>
  <c r="F44" i="2" s="1"/>
  <c r="P4" i="2"/>
  <c r="P8" i="2"/>
  <c r="F8" i="2" s="1"/>
  <c r="P12" i="2"/>
  <c r="F12" i="2" s="1"/>
  <c r="P16" i="2"/>
  <c r="F16" i="2" s="1"/>
  <c r="E3" i="2"/>
  <c r="F3" i="2" s="1"/>
  <c r="G5" i="2"/>
  <c r="H6" i="2"/>
  <c r="E7" i="2"/>
  <c r="F7" i="2" s="1"/>
  <c r="G9" i="2"/>
  <c r="H10" i="2"/>
  <c r="E11" i="2"/>
  <c r="F11" i="2" s="1"/>
  <c r="G13" i="2"/>
  <c r="H14" i="2"/>
  <c r="E15" i="2"/>
  <c r="G17" i="2"/>
  <c r="H18" i="2"/>
  <c r="G21" i="2"/>
  <c r="H22" i="2"/>
  <c r="G25" i="2"/>
  <c r="H26" i="2"/>
  <c r="E27" i="2"/>
  <c r="G29" i="2"/>
  <c r="H30" i="2"/>
  <c r="E31" i="2"/>
  <c r="G33" i="2"/>
  <c r="H34" i="2"/>
  <c r="E35" i="2"/>
  <c r="G37" i="2"/>
  <c r="H38" i="2"/>
  <c r="E39" i="2"/>
  <c r="G41" i="2"/>
  <c r="H42" i="2"/>
  <c r="P43" i="2"/>
  <c r="E4" i="2"/>
  <c r="G4" i="2"/>
  <c r="G8" i="2"/>
  <c r="G12" i="2"/>
  <c r="G16" i="2"/>
  <c r="G44" i="2"/>
  <c r="H12" i="2" l="1"/>
  <c r="H40" i="2"/>
  <c r="H28" i="2"/>
  <c r="H16" i="2"/>
  <c r="H44" i="2"/>
  <c r="F43" i="2"/>
  <c r="B9" i="1" s="1"/>
  <c r="H43" i="2"/>
  <c r="B13" i="1"/>
  <c r="B12" i="1"/>
  <c r="B11" i="1"/>
  <c r="F4" i="2"/>
  <c r="B10" i="1" s="1"/>
  <c r="H8" i="2"/>
  <c r="B15" i="1" s="1"/>
  <c r="H36" i="2"/>
  <c r="B14" i="1" s="1"/>
  <c r="B16" i="1" l="1"/>
  <c r="B7" i="1"/>
  <c r="B8" i="1"/>
</calcChain>
</file>

<file path=xl/sharedStrings.xml><?xml version="1.0" encoding="utf-8"?>
<sst xmlns="http://schemas.openxmlformats.org/spreadsheetml/2006/main" count="418" uniqueCount="166">
  <si>
    <t>eBay PPC Product Pause Automation</t>
  </si>
  <si>
    <t>LEDSone · eBay UK · Promoted Listings ACOS / Stock governance</t>
  </si>
  <si>
    <t>Data window: uploaded eBay Promoted Listings export · 01–07 Jul 2026 (7-day) · snapshot</t>
  </si>
  <si>
    <t>Metric</t>
  </si>
  <si>
    <t>Value</t>
  </si>
  <si>
    <t>Listings in scope</t>
  </si>
  <si>
    <t>Listings paused</t>
  </si>
  <si>
    <t xml:space="preserve">  — High priority</t>
  </si>
  <si>
    <t xml:space="preserve">  — Medium priority</t>
  </si>
  <si>
    <t xml:space="preserve">  — Low priority</t>
  </si>
  <si>
    <t>Stock rule hits</t>
  </si>
  <si>
    <t>Rule 1 hits (high ACOS)</t>
  </si>
  <si>
    <t>Rule 2 hits (no sales + clicks)</t>
  </si>
  <si>
    <t>Still running</t>
  </si>
  <si>
    <t>Already off</t>
  </si>
  <si>
    <t>30D spend at risk (paused)</t>
  </si>
  <si>
    <t>30D spend — all listings</t>
  </si>
  <si>
    <t>LISTING</t>
  </si>
  <si>
    <t>AUTO-PAUSE DECISION (computed)</t>
  </si>
  <si>
    <t>CPPC REVIEW (staff)</t>
  </si>
  <si>
    <t>Campaign / Listing</t>
  </si>
  <si>
    <t>Item ID / SKU</t>
  </si>
  <si>
    <t>Stock</t>
  </si>
  <si>
    <t>State</t>
  </si>
  <si>
    <t>Rule</t>
  </si>
  <si>
    <t>Priority</t>
  </si>
  <si>
    <t>Reason</t>
  </si>
  <si>
    <t>Status</t>
  </si>
  <si>
    <t>Decision</t>
  </si>
  <si>
    <t>Note</t>
  </si>
  <si>
    <t>JD | Target Mixed | New | ST | smart</t>
  </si>
  <si>
    <t>164113429012</t>
  </si>
  <si>
    <t>Pending</t>
  </si>
  <si>
    <t>JD | Without general | Manual</t>
  </si>
  <si>
    <t>144201913012</t>
  </si>
  <si>
    <t>JD | PH | Lampshade  | Utharsika | Manual</t>
  </si>
  <si>
    <t>129690966012</t>
  </si>
  <si>
    <t>JD | Wall lights | New | Manual</t>
  </si>
  <si>
    <t>164195009012</t>
  </si>
  <si>
    <t>JD | PH | Pendant Light Fitting  | Tharshana | Manual</t>
  </si>
  <si>
    <t>160677049012</t>
  </si>
  <si>
    <t>JD | PSU+Bulbs | Transformer | Manual</t>
  </si>
  <si>
    <t>153333633012</t>
  </si>
  <si>
    <t>JD | stock clearance products | Smart</t>
  </si>
  <si>
    <t>28863477012</t>
  </si>
  <si>
    <t>JD | MH | 3 head Pendent | Smart</t>
  </si>
  <si>
    <t>135730419012</t>
  </si>
  <si>
    <t>JD  | Shade+video campaign</t>
  </si>
  <si>
    <t>163710397012</t>
  </si>
  <si>
    <t>JD | Ceiling Lights | Manual</t>
  </si>
  <si>
    <t>163193938012</t>
  </si>
  <si>
    <t>JD | Plug in light | Manual</t>
  </si>
  <si>
    <t>164267739012</t>
  </si>
  <si>
    <t>JD | PH | 3 head pendant light | Manual</t>
  </si>
  <si>
    <t>164421244012</t>
  </si>
  <si>
    <t>JD | PH | Flush light | Manual</t>
  </si>
  <si>
    <t>26896653012</t>
  </si>
  <si>
    <t>JD | MH | Flush Light &amp; Lamp Shade | Shanthini | Manual</t>
  </si>
  <si>
    <t>159902435012</t>
  </si>
  <si>
    <t>JD | MH | Wall lights | Shimee | Manual</t>
  </si>
  <si>
    <t>38338866012</t>
  </si>
  <si>
    <t>JD | Cables | Video | Manual</t>
  </si>
  <si>
    <t>165065723012</t>
  </si>
  <si>
    <t>JD | PH | Tharsika | Lamp Holders | Manual</t>
  </si>
  <si>
    <t>14841895012</t>
  </si>
  <si>
    <t>JD | Promotion Dec 2025  | smart</t>
  </si>
  <si>
    <t>156649526012</t>
  </si>
  <si>
    <t>JD | Mixed Product | Manual</t>
  </si>
  <si>
    <t>85734687012</t>
  </si>
  <si>
    <t>JD | Flush light | Smart</t>
  </si>
  <si>
    <t>149867100012</t>
  </si>
  <si>
    <t>JD | MH | Wire Cage | Paulroshan | Manual</t>
  </si>
  <si>
    <t>159695736012</t>
  </si>
  <si>
    <t>JD | MH | Ceiling rose &amp; Tapes | Prasath | Manual</t>
  </si>
  <si>
    <t>161303270012</t>
  </si>
  <si>
    <t>JD | MH | Lighting Accessories &amp; Hardware | Tharsika.T | Manual</t>
  </si>
  <si>
    <t>159997785012</t>
  </si>
  <si>
    <t>JD | PH | PLA | Power Supply | Transformer | Manual</t>
  </si>
  <si>
    <t>15603840012</t>
  </si>
  <si>
    <t>JD | PH | BULB | TUWA | MANUAL</t>
  </si>
  <si>
    <t>155338191012</t>
  </si>
  <si>
    <t>JD | PH |  All type | Transformer | Manual</t>
  </si>
  <si>
    <t>129690774012</t>
  </si>
  <si>
    <t>JD | PH | PSU 4 types | Transformer | Manual</t>
  </si>
  <si>
    <t>34199100012</t>
  </si>
  <si>
    <t>JD | PH | power supply (fast moving) | Transformer  | smart</t>
  </si>
  <si>
    <t>28863466012</t>
  </si>
  <si>
    <t>JD | PLA | Pendent Lights | Smart</t>
  </si>
  <si>
    <t>15405839012</t>
  </si>
  <si>
    <t>JD | Target product | Manual</t>
  </si>
  <si>
    <t>22831214012</t>
  </si>
  <si>
    <t>JD | PH | Abinayaa | Light Fittings | Manual</t>
  </si>
  <si>
    <t>155945896012</t>
  </si>
  <si>
    <t>JD | PLA | Light Product | Smart</t>
  </si>
  <si>
    <t>15405904012</t>
  </si>
  <si>
    <t>JD | Sm wall | smart</t>
  </si>
  <si>
    <t>17371404012</t>
  </si>
  <si>
    <t>JD | LJ | Lighting Parts | Thojika | Manual</t>
  </si>
  <si>
    <t>161735955012</t>
  </si>
  <si>
    <t>JD | Target Transformer | Manual</t>
  </si>
  <si>
    <t>161245031012</t>
  </si>
  <si>
    <t>JD | Cables | Target | Manual</t>
  </si>
  <si>
    <t>161244718012</t>
  </si>
  <si>
    <t>JD | MH | Cables | Jasmini | Smart</t>
  </si>
  <si>
    <t>28863417012</t>
  </si>
  <si>
    <t>JD | Wall light + video campaign</t>
  </si>
  <si>
    <t>163055118012</t>
  </si>
  <si>
    <t>JD | MH | Hemp Lights | Renuha | Manual</t>
  </si>
  <si>
    <t>155212621012</t>
  </si>
  <si>
    <t>JD | PH | Pendant - II | Manual</t>
  </si>
  <si>
    <t>162961217012</t>
  </si>
  <si>
    <t>JD | MH | LEDSONE Cable | Manual</t>
  </si>
  <si>
    <t>13950665012</t>
  </si>
  <si>
    <t>JD | Spider Light | Manual</t>
  </si>
  <si>
    <t>17109990012</t>
  </si>
  <si>
    <t>INPUT DATA — LEDSone · eBay UK · Promoted Listings (editable)</t>
  </si>
  <si>
    <t>Item ID</t>
  </si>
  <si>
    <t>Type</t>
  </si>
  <si>
    <t>Units in stock</t>
  </si>
  <si>
    <t>30D ACOS</t>
  </si>
  <si>
    <t>7D ACOS</t>
  </si>
  <si>
    <t>30D orders</t>
  </si>
  <si>
    <t>14D orders</t>
  </si>
  <si>
    <t>14D clicks</t>
  </si>
  <si>
    <t>14D spend</t>
  </si>
  <si>
    <t>30D spend</t>
  </si>
  <si>
    <t>Listing price</t>
  </si>
  <si>
    <t>Campaign state</t>
  </si>
  <si>
    <t>Listing state</t>
  </si>
  <si>
    <t>Smart</t>
  </si>
  <si>
    <t>ON</t>
  </si>
  <si>
    <t>Manual</t>
  </si>
  <si>
    <t>OFF</t>
  </si>
  <si>
    <t>PAUSE RULES — thresholds</t>
  </si>
  <si>
    <t>Edit the blue values in column B. Every threshold below feeds the live Pause Log calculation.</t>
  </si>
  <si>
    <t>Setting</t>
  </si>
  <si>
    <t>What it does</t>
  </si>
  <si>
    <t>Stock floor (units)</t>
  </si>
  <si>
    <t>Pause when units in stock are below this floor</t>
  </si>
  <si>
    <t>Rule 1 — 30D ACOS ceiling (%)</t>
  </si>
  <si>
    <t>Pause when 30-day ACOS is at or above this</t>
  </si>
  <si>
    <t>Rule 1 — 7D ACOS rescue (%)</t>
  </si>
  <si>
    <t>Skip the pause if 7-day ACOS is below this (improving trend)</t>
  </si>
  <si>
    <t>Rule 2 — 14D clicks minimum</t>
  </si>
  <si>
    <t>Rule 2 only applies when 14-day clicks reach this</t>
  </si>
  <si>
    <t>Rule 2 — 14D spend floor (£)</t>
  </si>
  <si>
    <t>Skip the pause if 14-day spend is below this (cheap organic clicks)</t>
  </si>
  <si>
    <t>Priority — High at 30D spend ≥ (£)</t>
  </si>
  <si>
    <t>Paused rows at/above this spend are High priority</t>
  </si>
  <si>
    <t>Priority — Medium at 30D spend ≥ (£)</t>
  </si>
  <si>
    <t>Paused rows at/above this spend are Medium priority</t>
  </si>
  <si>
    <t>Stock rule enabled</t>
  </si>
  <si>
    <t>TRUE / FALSE — turn the stock rule on or off</t>
  </si>
  <si>
    <t>Rule 1 enabled</t>
  </si>
  <si>
    <t>TRUE / FALSE — turn Rule 1 on or off</t>
  </si>
  <si>
    <t>Rule 2 enabled</t>
  </si>
  <si>
    <t>TRUE / FALSE — turn Rule 2 on or off</t>
  </si>
  <si>
    <t>CUSTOM RULES</t>
  </si>
  <si>
    <t>Plan additional pause rules here. The dashboard evaluates these live; in this workbook they are a planning worksheet (not wired into the Pause Log formulas). Metrics: 30D/7D ACOS %, 30D/14D orders, 14D clicks, 14D/30D spend, listing price, units in stock. Operators: &gt;  ≥  &lt;  ≤  =  ≠.</t>
  </si>
  <si>
    <t>Rule name</t>
  </si>
  <si>
    <t>Enabled</t>
  </si>
  <si>
    <t>Operator</t>
  </si>
  <si>
    <t>e.g. Kill zero-order big spenders</t>
  </si>
  <si>
    <t>TRUE</t>
  </si>
  <si>
    <t>≥</t>
  </si>
  <si>
    <t>← example row (edit or clear)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</si>
</sst>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#,##0.00"/>
    <numFmt numFmtId="165" formatCode="0.0\%"/>
    <numFmt numFmtId="166" formatCode="0\%"/>
    <numFmt numFmtId="167" formatCode="\£#,##0"/>
  </numFmts>
  <fonts count="2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0"/>
      <color rgb="FF9FC0E6"/>
      <name val="Arial"/>
      <charset val="1"/>
    </font>
    <font>
      <i/>
      <sz val="9"/>
      <color rgb="FF6B7688"/>
      <name val="Arial"/>
      <charset val="1"/>
    </font>
    <font>
      <b/>
      <sz val="10"/>
      <color rgb="FFFFFFFF"/>
      <name val="Arial"/>
      <charset val="1"/>
    </font>
    <font>
      <sz val="10"/>
      <color rgb="FF1B2A44"/>
      <name val="Arial"/>
      <charset val="1"/>
    </font>
    <font>
      <b/>
      <sz val="12"/>
      <color rgb="FF1B2A44"/>
      <name val="Arial"/>
      <charset val="1"/>
    </font>
    <font>
      <b/>
      <sz val="12"/>
      <color rgb="FFC0392B"/>
      <name val="Arial"/>
      <charset val="1"/>
    </font>
    <font>
      <b/>
      <sz val="12"/>
      <color rgb="FFC77C1B"/>
      <name val="Arial"/>
      <charset val="1"/>
    </font>
    <font>
      <b/>
      <sz val="12"/>
      <color rgb="FF6B7688"/>
      <name val="Arial"/>
      <charset val="1"/>
    </font>
    <font>
      <b/>
      <sz val="12"/>
      <color rgb="FF2E5C97"/>
      <name val="Arial"/>
      <charset val="1"/>
    </font>
    <font>
      <b/>
      <sz val="12"/>
      <color rgb="FF1E7B4F"/>
      <name val="Arial"/>
      <charset val="1"/>
    </font>
    <font>
      <b/>
      <sz val="9"/>
      <color rgb="FFFFFFFF"/>
      <name val="Arial"/>
      <charset val="1"/>
    </font>
    <font>
      <sz val="9"/>
      <color rgb="FF1B2A44"/>
      <name val="Arial"/>
      <charset val="1"/>
    </font>
    <font>
      <sz val="8"/>
      <color rgb="FF1B2A44"/>
      <name val="Arial"/>
      <charset val="1"/>
    </font>
    <font>
      <b/>
      <sz val="9"/>
      <color rgb="FF1B2A44"/>
      <name val="Arial"/>
      <charset val="1"/>
    </font>
    <font>
      <b/>
      <sz val="14"/>
      <color rgb="FFFFFFFF"/>
      <name val="Arial"/>
      <charset val="1"/>
    </font>
    <font>
      <sz val="9"/>
      <color rgb="FF0000FF"/>
      <name val="Arial"/>
      <charset val="1"/>
    </font>
    <font>
      <b/>
      <sz val="15"/>
      <color rgb="FFFFFFFF"/>
      <name val="Arial"/>
      <charset val="1"/>
    </font>
    <font>
      <b/>
      <sz val="10"/>
      <color rgb="FF0000FF"/>
      <name val="Arial"/>
      <charset val="1"/>
    </font>
    <font>
      <sz val="9"/>
      <color rgb="FF6B7688"/>
      <name val="Arial"/>
      <charset val="1"/>
    </font>
    <font>
      <i/>
      <sz val="9"/>
      <color rgb="FF0000FF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2406B"/>
        <bgColor rgb="FF003366"/>
      </patternFill>
    </fill>
    <fill>
      <patternFill patternType="solid">
        <fgColor rgb="FF2E5C97"/>
        <bgColor rgb="FF22406B"/>
      </patternFill>
    </fill>
    <fill>
      <patternFill patternType="solid">
        <fgColor rgb="FFF4F6F9"/>
        <bgColor rgb="FFEEF0F3"/>
      </patternFill>
    </fill>
    <fill>
      <patternFill patternType="solid">
        <fgColor rgb="FFFCFBF0"/>
        <bgColor rgb="FFFFFFFF"/>
      </patternFill>
    </fill>
    <fill>
      <patternFill patternType="solid">
        <fgColor rgb="FFFFF9D6"/>
        <bgColor rgb="FFFBF1DF"/>
      </patternFill>
    </fill>
  </fills>
  <borders count="3">
    <border>
      <left/>
      <right/>
      <top/>
      <bottom/>
      <diagonal/>
    </border>
    <border>
      <left style="thin">
        <color rgb="FFDBE1EA"/>
      </left>
      <right style="thin">
        <color rgb="FFDBE1EA"/>
      </right>
      <top style="thin">
        <color rgb="FFDBE1EA"/>
      </top>
      <bottom style="thin">
        <color rgb="FFDBE1EA"/>
      </bottom>
      <diagonal/>
    </border>
    <border>
      <left style="thin">
        <color rgb="FFDBE1EA"/>
      </left>
      <right/>
      <top style="thin">
        <color rgb="FFDBE1EA"/>
      </top>
      <bottom style="thin">
        <color rgb="FFDBE1EA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/>
    <xf numFmtId="0" fontId="18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right" vertical="center"/>
    </xf>
    <xf numFmtId="1" fontId="7" fillId="0" borderId="1" xfId="0" applyNumberFormat="1" applyFont="1" applyBorder="1" applyAlignment="1">
      <alignment horizontal="right" vertical="center"/>
    </xf>
    <xf numFmtId="1" fontId="8" fillId="0" borderId="1" xfId="0" applyNumberFormat="1" applyFont="1" applyBorder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1" fontId="10" fillId="0" borderId="1" xfId="0" applyNumberFormat="1" applyFont="1" applyBorder="1" applyAlignment="1">
      <alignment horizontal="right" vertical="center"/>
    </xf>
    <xf numFmtId="1" fontId="11" fillId="0" borderId="1" xfId="0" applyNumberFormat="1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12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165" fontId="17" fillId="0" borderId="1" xfId="0" applyNumberFormat="1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1" fontId="19" fillId="6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/>
    </xf>
    <xf numFmtId="166" fontId="19" fillId="6" borderId="1" xfId="0" applyNumberFormat="1" applyFont="1" applyFill="1" applyBorder="1" applyAlignment="1">
      <alignment horizontal="center" vertical="center" wrapText="1"/>
    </xf>
    <xf numFmtId="164" fontId="19" fillId="6" borderId="1" xfId="0" applyNumberFormat="1" applyFont="1" applyFill="1" applyBorder="1" applyAlignment="1">
      <alignment horizontal="center" vertical="center" wrapText="1"/>
    </xf>
    <xf numFmtId="167" fontId="19" fillId="6" borderId="1" xfId="0" applyNumberFormat="1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12">
    <dxf>
      <font>
        <b/>
        <sz val="9"/>
        <color rgb="FF6B7688"/>
        <name val="Arial"/>
        <charset val="1"/>
      </font>
      <fill>
        <patternFill>
          <bgColor rgb="FFEEF0F3"/>
        </patternFill>
      </fill>
    </dxf>
    <dxf>
      <font>
        <b/>
        <sz val="9"/>
        <color rgb="FF1E7B4F"/>
        <name val="Arial"/>
        <charset val="1"/>
      </font>
      <fill>
        <patternFill>
          <bgColor rgb="FFE7F4EC"/>
        </patternFill>
      </fill>
    </dxf>
    <dxf>
      <font>
        <b/>
        <sz val="9"/>
        <color rgb="FFC0392B"/>
        <name val="Arial"/>
        <charset val="1"/>
      </font>
      <fill>
        <patternFill>
          <bgColor rgb="FFFCE4E4"/>
        </patternFill>
      </fill>
    </dxf>
    <dxf>
      <font>
        <b/>
        <sz val="9"/>
        <color rgb="FF6B7688"/>
        <name val="Arial"/>
        <charset val="1"/>
      </font>
      <fill>
        <patternFill>
          <bgColor rgb="FFEEF0F3"/>
        </patternFill>
      </fill>
    </dxf>
    <dxf>
      <font>
        <b/>
        <sz val="9"/>
        <color rgb="FFC77C1B"/>
        <name val="Arial"/>
        <charset val="1"/>
      </font>
      <fill>
        <patternFill>
          <bgColor rgb="FFFBF1DF"/>
        </patternFill>
      </fill>
    </dxf>
    <dxf>
      <font>
        <b/>
        <sz val="9"/>
        <color rgb="FFC0392B"/>
        <name val="Arial"/>
        <charset val="1"/>
      </font>
      <fill>
        <patternFill>
          <bgColor rgb="FFFCE4E4"/>
        </patternFill>
      </fill>
    </dxf>
    <dxf>
      <font>
        <b/>
        <sz val="9"/>
        <color rgb="FFC77C1B"/>
        <name val="Arial"/>
        <charset val="1"/>
      </font>
      <fill>
        <patternFill>
          <bgColor rgb="FFFBF1DF"/>
        </patternFill>
      </fill>
    </dxf>
    <dxf>
      <font>
        <b/>
        <sz val="9"/>
        <color rgb="FF2E5C97"/>
        <name val="Arial"/>
        <charset val="1"/>
      </font>
      <fill>
        <patternFill>
          <bgColor rgb="FFE7EEF7"/>
        </patternFill>
      </fill>
    </dxf>
    <dxf>
      <font>
        <b/>
        <sz val="9"/>
        <color rgb="FFC0392B"/>
        <name val="Arial"/>
        <charset val="1"/>
      </font>
      <fill>
        <patternFill>
          <bgColor rgb="FFFCE4E4"/>
        </patternFill>
      </fill>
    </dxf>
    <dxf>
      <font>
        <sz val="9"/>
        <color rgb="FF1E7B4F"/>
        <name val="Arial"/>
        <charset val="1"/>
      </font>
      <fill>
        <patternFill>
          <bgColor rgb="FFE7F4EC"/>
        </patternFill>
      </fill>
    </dxf>
    <dxf>
      <font>
        <sz val="9"/>
        <color rgb="FFC77C1B"/>
        <name val="Arial"/>
        <charset val="1"/>
      </font>
      <fill>
        <patternFill>
          <bgColor rgb="FFFBF1DF"/>
        </patternFill>
      </fill>
    </dxf>
    <dxf>
      <font>
        <sz val="9"/>
        <color rgb="FFC0392B"/>
        <name val="Arial"/>
        <charset val="1"/>
      </font>
      <fill>
        <patternFill>
          <bgColor rgb="FFFCE4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B4F"/>
      <rgbColor rgb="FFF4F6F9"/>
      <rgbColor rgb="FF808080"/>
      <rgbColor rgb="FF9999FF"/>
      <rgbColor rgb="FF993366"/>
      <rgbColor rgb="FFFFF9D6"/>
      <rgbColor rgb="FFE7F4EC"/>
      <rgbColor rgb="FF660066"/>
      <rgbColor rgb="FFFF8080"/>
      <rgbColor rgb="FF2E5C97"/>
      <rgbColor rgb="FFDBE1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EF7"/>
      <rgbColor rgb="FFEEF0F3"/>
      <rgbColor rgb="FFFBF1DF"/>
      <rgbColor rgb="FF9FC0E6"/>
      <rgbColor rgb="FFFCFBF0"/>
      <rgbColor rgb="FFCC99FF"/>
      <rgbColor rgb="FFFCE4E4"/>
      <rgbColor rgb="FF3366FF"/>
      <rgbColor rgb="FF33CCCC"/>
      <rgbColor rgb="FF99CC00"/>
      <rgbColor rgb="FFFFCC00"/>
      <rgbColor rgb="FFFF9900"/>
      <rgbColor rgb="FFC77C1B"/>
      <rgbColor rgb="FF6B7688"/>
      <rgbColor rgb="FF969696"/>
      <rgbColor rgb="FF003366"/>
      <rgbColor rgb="FF339966"/>
      <rgbColor rgb="FF003300"/>
      <rgbColor rgb="FF333300"/>
      <rgbColor rgb="FFC0392B"/>
      <rgbColor rgb="FF993366"/>
      <rgbColor rgb="FF22406B"/>
      <rgbColor rgb="FF1B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tabSelected="1" zoomScaleNormal="100" workbookViewId="0">
      <selection activeCell="G24" sqref="G24"/>
    </sheetView>
  </sheetViews>
  <sheetFormatPr defaultColWidth="8.7109375" defaultRowHeight="15" x14ac:dyDescent="0.25"/>
  <cols>
    <col min="1" max="1" width="32" customWidth="1"/>
    <col min="2" max="2" width="16" customWidth="1"/>
  </cols>
  <sheetData>
    <row r="1" spans="1:4" ht="33.75" customHeight="1" x14ac:dyDescent="0.25">
      <c r="A1" s="8" t="s">
        <v>0</v>
      </c>
      <c r="B1" s="8"/>
      <c r="C1" s="8"/>
      <c r="D1" s="8"/>
    </row>
    <row r="2" spans="1:4" ht="19.5" customHeight="1" x14ac:dyDescent="0.25">
      <c r="A2" s="7" t="s">
        <v>1</v>
      </c>
      <c r="B2" s="7"/>
      <c r="C2" s="7"/>
      <c r="D2" s="7"/>
    </row>
    <row r="3" spans="1:4" x14ac:dyDescent="0.25">
      <c r="A3" s="6" t="s">
        <v>2</v>
      </c>
      <c r="B3" s="6"/>
      <c r="C3" s="6"/>
      <c r="D3" s="6"/>
    </row>
    <row r="5" spans="1:4" x14ac:dyDescent="0.25">
      <c r="A5" s="9" t="s">
        <v>3</v>
      </c>
      <c r="B5" s="9" t="s">
        <v>4</v>
      </c>
    </row>
    <row r="6" spans="1:4" ht="15.75" x14ac:dyDescent="0.25">
      <c r="A6" s="10" t="s">
        <v>5</v>
      </c>
      <c r="B6" s="11">
        <f>COUNTA('Pause Log'!$B$3:$B$44)</f>
        <v>42</v>
      </c>
    </row>
    <row r="7" spans="1:4" ht="15.75" x14ac:dyDescent="0.25">
      <c r="A7" s="10" t="s">
        <v>6</v>
      </c>
      <c r="B7" s="12">
        <f>COUNTIF('Pause Log'!$H$3:$H$44,"PAUSED")</f>
        <v>16</v>
      </c>
    </row>
    <row r="8" spans="1:4" ht="15.75" x14ac:dyDescent="0.25">
      <c r="A8" s="10" t="s">
        <v>7</v>
      </c>
      <c r="B8" s="12">
        <f>COUNTIF('Pause Log'!$F$3:$F$44,"High")</f>
        <v>5</v>
      </c>
    </row>
    <row r="9" spans="1:4" ht="15.75" x14ac:dyDescent="0.25">
      <c r="A9" s="10" t="s">
        <v>8</v>
      </c>
      <c r="B9" s="13">
        <f>COUNTIF('Pause Log'!$F$3:$F$44,"Medium")</f>
        <v>6</v>
      </c>
    </row>
    <row r="10" spans="1:4" ht="15.75" x14ac:dyDescent="0.25">
      <c r="A10" s="10" t="s">
        <v>9</v>
      </c>
      <c r="B10" s="14">
        <f>COUNTIF('Pause Log'!$F$3:$F$44,"Low")</f>
        <v>5</v>
      </c>
    </row>
    <row r="11" spans="1:4" ht="15.75" x14ac:dyDescent="0.25">
      <c r="A11" s="10" t="s">
        <v>10</v>
      </c>
      <c r="B11" s="12">
        <f>COUNTIF('Pause Log'!$E$3:$E$44,"Stock")</f>
        <v>8</v>
      </c>
    </row>
    <row r="12" spans="1:4" ht="15.75" x14ac:dyDescent="0.25">
      <c r="A12" s="10" t="s">
        <v>11</v>
      </c>
      <c r="B12" s="15">
        <f>COUNTIF('Pause Log'!$E$3:$E$44,"Rule 1")</f>
        <v>7</v>
      </c>
    </row>
    <row r="13" spans="1:4" ht="15.75" x14ac:dyDescent="0.25">
      <c r="A13" s="10" t="s">
        <v>12</v>
      </c>
      <c r="B13" s="13">
        <f>COUNTIF('Pause Log'!$E$3:$E$44,"Rule 2")</f>
        <v>1</v>
      </c>
    </row>
    <row r="14" spans="1:4" ht="15.75" x14ac:dyDescent="0.25">
      <c r="A14" s="10" t="s">
        <v>13</v>
      </c>
      <c r="B14" s="16">
        <f>COUNTIF('Pause Log'!$H$3:$H$44,"RUNNING")</f>
        <v>19</v>
      </c>
    </row>
    <row r="15" spans="1:4" ht="15.75" x14ac:dyDescent="0.25">
      <c r="A15" s="10" t="s">
        <v>14</v>
      </c>
      <c r="B15" s="14">
        <f>COUNTIF('Pause Log'!$H$3:$H$44,"ALREADY OFF")</f>
        <v>7</v>
      </c>
    </row>
    <row r="16" spans="1:4" ht="15.75" x14ac:dyDescent="0.25">
      <c r="A16" s="10" t="s">
        <v>15</v>
      </c>
      <c r="B16" s="17">
        <f>SUMIF('Pause Log'!$H$3:$H$44,"PAUSED",'Input Data'!$K$3:$K$44)</f>
        <v>416.94</v>
      </c>
    </row>
    <row r="17" spans="1:2" ht="15.75" x14ac:dyDescent="0.25">
      <c r="A17" s="10" t="s">
        <v>16</v>
      </c>
      <c r="B17" s="18">
        <f>SUM('Input Data'!$K$3:$K$44)</f>
        <v>1243.0900000000001</v>
      </c>
    </row>
  </sheetData>
  <mergeCells count="3">
    <mergeCell ref="A1:D1"/>
    <mergeCell ref="A2:D2"/>
    <mergeCell ref="A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9" sqref="E9"/>
    </sheetView>
  </sheetViews>
  <sheetFormatPr defaultColWidth="8.7109375" defaultRowHeight="15" x14ac:dyDescent="0.25"/>
  <cols>
    <col min="1" max="1" width="38" customWidth="1"/>
    <col min="2" max="2" width="15" customWidth="1"/>
    <col min="3" max="3" width="20" customWidth="1"/>
    <col min="4" max="4" width="22" customWidth="1"/>
    <col min="5" max="5" width="10" customWidth="1"/>
    <col min="6" max="6" width="11" customWidth="1"/>
    <col min="7" max="7" width="62" customWidth="1"/>
    <col min="8" max="8" width="14" customWidth="1"/>
    <col min="9" max="9" width="13" customWidth="1"/>
    <col min="10" max="10" width="26" customWidth="1"/>
    <col min="12" max="16" width="13" hidden="1" customWidth="1"/>
  </cols>
  <sheetData>
    <row r="1" spans="1:16" ht="19.5" customHeight="1" x14ac:dyDescent="0.25">
      <c r="A1" s="5" t="s">
        <v>17</v>
      </c>
      <c r="B1" s="5"/>
      <c r="C1" s="5"/>
      <c r="D1" s="5" t="s">
        <v>18</v>
      </c>
      <c r="E1" s="5"/>
      <c r="F1" s="5"/>
      <c r="G1" s="5"/>
      <c r="H1" s="5"/>
      <c r="I1" s="5" t="s">
        <v>19</v>
      </c>
      <c r="J1" s="5"/>
    </row>
    <row r="2" spans="1:16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</row>
    <row r="3" spans="1:16" ht="45.75" customHeight="1" x14ac:dyDescent="0.25">
      <c r="A3" s="20" t="s">
        <v>30</v>
      </c>
      <c r="B3" s="21" t="s">
        <v>31</v>
      </c>
      <c r="C3" s="22" t="str">
        <f>'Input Data'!$D$3&amp;" units · "&amp;IF('Input Data'!$D$3&lt;=0,"Out of stock",IF('Input Data'!$D$3&lt;'Pause Rules'!$B$4,"Low stock","In stock"))</f>
        <v>82 units · In stock</v>
      </c>
      <c r="D3" s="23" t="str">
        <f>"Campaign "&amp;'Input Data'!$M$3&amp;"  /  Listing "&amp;'Input Data'!$N$3</f>
        <v>Campaign ON  /  Listing ON</v>
      </c>
      <c r="E3" s="24" t="str">
        <f t="shared" ref="E3:E44" si="0">IF($L3,"—",IF($M3,"Stock",IF($N3,"Rule 1",IF($O3,"Rule 2","—"))))</f>
        <v>Rule 1</v>
      </c>
      <c r="F3" s="24" t="str">
        <f>IF(NOT($P3),"—",IF(AND($E3="Stock",'Input Data'!$D$3&lt;=0),"High",IF('Input Data'!$K$3&gt;='Pause Rules'!$B$9,"High",IF('Input Data'!$K$3&gt;='Pause Rules'!$B$10,"Medium","Low"))))</f>
        <v>High</v>
      </c>
      <c r="G3" s="20" t="str">
        <f>IF($L3,IF('Input Data'!$M$3="OFF","Campaign","Listing")&amp;" is already OFF — pause rules are not evaluated.",IF($M3,IF('Input Data'!$D$3&lt;=0,"Out of stock (0 units) — ads paused so spend does not run on an unbuyable item.","Low stock ("&amp;'Input Data'!$D$3&amp;" units, below the "&amp;'Pause Rules'!$B$4&amp;"-unit floor) — ads paused to protect the remaining units."),IF($N3,"30D ACOS "&amp;'Input Data'!$E$3&amp;"% is at or above the "&amp;'Pause Rules'!$B$5&amp;"% ceiling; 7D ACOS "&amp;'Input Data'!$F$3&amp;"% is not improving — paused.",IF($O3,'Input Data'!$I$3&amp;" clicks over 14 days with 0 orders; spend "&amp;TEXT('Input Data'!$J$3,"£0.00")&amp;" is at or above the "&amp;TEXT('Pause Rules'!$B$8,"£0.00")&amp;" floor — paused.","No rule matched — the listing keeps running."))))</f>
        <v>30D ACOS 46.7% is at or above the 40% ceiling; 7D ACOS 46.7% is not improving — paused.</v>
      </c>
      <c r="H3" s="24" t="str">
        <f t="shared" ref="H3:H44" si="1">IF($L3,"ALREADY OFF",IF($P3,"PAUSED","RUNNING"))</f>
        <v>PAUSED</v>
      </c>
      <c r="I3" s="25" t="s">
        <v>32</v>
      </c>
      <c r="J3" s="26"/>
      <c r="L3" t="b">
        <f>OR('Input Data'!$M$3="OFF",'Input Data'!$N$3="OFF")</f>
        <v>0</v>
      </c>
      <c r="M3" t="b">
        <f>AND('Pause Rules'!$B$11,'Input Data'!$D$3&lt;'Pause Rules'!$B$4)</f>
        <v>0</v>
      </c>
      <c r="N3" t="b">
        <f>AND('Pause Rules'!$B$12,'Input Data'!$G$3&gt;0,'Input Data'!$E$3&gt;='Pause Rules'!$B$5,NOT('Input Data'!$F$3&lt;'Pause Rules'!$B$6))</f>
        <v>1</v>
      </c>
      <c r="O3" t="b">
        <f>AND('Pause Rules'!$B$13,'Input Data'!$H$3=0,'Input Data'!$I$3&gt;='Pause Rules'!$B$7,NOT('Input Data'!$J$3&lt;'Pause Rules'!$B$8))</f>
        <v>0</v>
      </c>
      <c r="P3" t="b">
        <f t="shared" ref="P3:P44" si="2">AND(NOT($L3),OR($M3,$N3,$O3))</f>
        <v>1</v>
      </c>
    </row>
    <row r="4" spans="1:16" ht="45.75" customHeight="1" x14ac:dyDescent="0.25">
      <c r="A4" s="20" t="s">
        <v>33</v>
      </c>
      <c r="B4" s="21" t="s">
        <v>34</v>
      </c>
      <c r="C4" s="22" t="str">
        <f>'Input Data'!$D$4&amp;" units · "&amp;IF('Input Data'!$D$4&lt;=0,"Out of stock",IF('Input Data'!$D$4&lt;'Pause Rules'!$B$4,"Low stock","In stock"))</f>
        <v>73 units · In stock</v>
      </c>
      <c r="D4" s="23" t="str">
        <f>"Campaign "&amp;'Input Data'!$M$4&amp;"  /  Listing "&amp;'Input Data'!$N$4</f>
        <v>Campaign ON  /  Listing ON</v>
      </c>
      <c r="E4" s="24" t="str">
        <f t="shared" si="0"/>
        <v>Rule 1</v>
      </c>
      <c r="F4" s="24" t="str">
        <f>IF(NOT($P4),"—",IF(AND($E4="Stock",'Input Data'!$D$4&lt;=0),"High",IF('Input Data'!$K$4&gt;='Pause Rules'!$B$9,"High",IF('Input Data'!$K$4&gt;='Pause Rules'!$B$10,"Medium","Low"))))</f>
        <v>High</v>
      </c>
      <c r="G4" s="20" t="str">
        <f>IF($L4,IF('Input Data'!$M$4="OFF","Campaign","Listing")&amp;" is already OFF — pause rules are not evaluated.",IF($M4,IF('Input Data'!$D$4&lt;=0,"Out of stock (0 units) — ads paused so spend does not run on an unbuyable item.","Low stock ("&amp;'Input Data'!$D$4&amp;" units, below the "&amp;'Pause Rules'!$B$4&amp;"-unit floor) — ads paused to protect the remaining units."),IF($N4,"30D ACOS "&amp;'Input Data'!$E$4&amp;"% is at or above the "&amp;'Pause Rules'!$B$5&amp;"% ceiling; 7D ACOS "&amp;'Input Data'!$F$4&amp;"% is not improving — paused.",IF($O4,'Input Data'!$I$4&amp;" clicks over 14 days with 0 orders; spend "&amp;TEXT('Input Data'!$J$4,"£0.00")&amp;" is at or above the "&amp;TEXT('Pause Rules'!$B$8,"£0.00")&amp;" floor — paused.","No rule matched — the listing keeps running."))))</f>
        <v>30D ACOS 40.6% is at or above the 40% ceiling; 7D ACOS 40.6% is not improving — paused.</v>
      </c>
      <c r="H4" s="24" t="str">
        <f t="shared" si="1"/>
        <v>PAUSED</v>
      </c>
      <c r="I4" s="25" t="s">
        <v>32</v>
      </c>
      <c r="J4" s="26"/>
      <c r="L4" t="b">
        <f>OR('Input Data'!$M$4="OFF",'Input Data'!$N$4="OFF")</f>
        <v>0</v>
      </c>
      <c r="M4" t="b">
        <f>AND('Pause Rules'!$B$11,'Input Data'!$D$4&lt;'Pause Rules'!$B$4)</f>
        <v>0</v>
      </c>
      <c r="N4" t="b">
        <f>AND('Pause Rules'!$B$12,'Input Data'!$G$4&gt;0,'Input Data'!$E$4&gt;='Pause Rules'!$B$5,NOT('Input Data'!$F$4&lt;'Pause Rules'!$B$6))</f>
        <v>1</v>
      </c>
      <c r="O4" t="b">
        <f>AND('Pause Rules'!$B$13,'Input Data'!$H$4=0,'Input Data'!$I$4&gt;='Pause Rules'!$B$7,NOT('Input Data'!$J$4&lt;'Pause Rules'!$B$8))</f>
        <v>0</v>
      </c>
      <c r="P4" t="b">
        <f t="shared" si="2"/>
        <v>1</v>
      </c>
    </row>
    <row r="5" spans="1:16" ht="45.75" customHeight="1" x14ac:dyDescent="0.25">
      <c r="A5" s="20" t="s">
        <v>35</v>
      </c>
      <c r="B5" s="21" t="s">
        <v>36</v>
      </c>
      <c r="C5" s="22" t="str">
        <f>'Input Data'!$D$5&amp;" units · "&amp;IF('Input Data'!$D$5&lt;=0,"Out of stock",IF('Input Data'!$D$5&lt;'Pause Rules'!$B$4,"Low stock","In stock"))</f>
        <v>156 units · In stock</v>
      </c>
      <c r="D5" s="23" t="str">
        <f>"Campaign "&amp;'Input Data'!$M$5&amp;"  /  Listing "&amp;'Input Data'!$N$5</f>
        <v>Campaign ON  /  Listing ON</v>
      </c>
      <c r="E5" s="24" t="str">
        <f t="shared" si="0"/>
        <v>Rule 1</v>
      </c>
      <c r="F5" s="24" t="str">
        <f>IF(NOT($P5),"—",IF(AND($E5="Stock",'Input Data'!$D$5&lt;=0),"High",IF('Input Data'!$K$5&gt;='Pause Rules'!$B$9,"High",IF('Input Data'!$K$5&gt;='Pause Rules'!$B$10,"Medium","Low"))))</f>
        <v>High</v>
      </c>
      <c r="G5" s="20" t="str">
        <f>IF($L5,IF('Input Data'!$M$5="OFF","Campaign","Listing")&amp;" is already OFF — pause rules are not evaluated.",IF($M5,IF('Input Data'!$D$5&lt;=0,"Out of stock (0 units) — ads paused so spend does not run on an unbuyable item.","Low stock ("&amp;'Input Data'!$D$5&amp;" units, below the "&amp;'Pause Rules'!$B$4&amp;"-unit floor) — ads paused to protect the remaining units."),IF($N5,"30D ACOS "&amp;'Input Data'!$E$5&amp;"% is at or above the "&amp;'Pause Rules'!$B$5&amp;"% ceiling; 7D ACOS "&amp;'Input Data'!$F$5&amp;"% is not improving — paused.",IF($O5,'Input Data'!$I$5&amp;" clicks over 14 days with 0 orders; spend "&amp;TEXT('Input Data'!$J$5,"£0.00")&amp;" is at or above the "&amp;TEXT('Pause Rules'!$B$8,"£0.00")&amp;" floor — paused.","No rule matched — the listing keeps running."))))</f>
        <v>30D ACOS 49% is at or above the 40% ceiling; 7D ACOS 49% is not improving — paused.</v>
      </c>
      <c r="H5" s="24" t="str">
        <f t="shared" si="1"/>
        <v>PAUSED</v>
      </c>
      <c r="I5" s="25" t="s">
        <v>32</v>
      </c>
      <c r="J5" s="26"/>
      <c r="L5" t="b">
        <f>OR('Input Data'!$M$5="OFF",'Input Data'!$N$5="OFF")</f>
        <v>0</v>
      </c>
      <c r="M5" t="b">
        <f>AND('Pause Rules'!$B$11,'Input Data'!$D$5&lt;'Pause Rules'!$B$4)</f>
        <v>0</v>
      </c>
      <c r="N5" t="b">
        <f>AND('Pause Rules'!$B$12,'Input Data'!$G$5&gt;0,'Input Data'!$E$5&gt;='Pause Rules'!$B$5,NOT('Input Data'!$F$5&lt;'Pause Rules'!$B$6))</f>
        <v>1</v>
      </c>
      <c r="O5" t="b">
        <f>AND('Pause Rules'!$B$13,'Input Data'!$H$5=0,'Input Data'!$I$5&gt;='Pause Rules'!$B$7,NOT('Input Data'!$J$5&lt;'Pause Rules'!$B$8))</f>
        <v>0</v>
      </c>
      <c r="P5" t="b">
        <f t="shared" si="2"/>
        <v>1</v>
      </c>
    </row>
    <row r="6" spans="1:16" ht="45.75" customHeight="1" x14ac:dyDescent="0.25">
      <c r="A6" s="20" t="s">
        <v>37</v>
      </c>
      <c r="B6" s="21" t="s">
        <v>38</v>
      </c>
      <c r="C6" s="22" t="str">
        <f>'Input Data'!$D$6&amp;" units · "&amp;IF('Input Data'!$D$6&lt;=0,"Out of stock",IF('Input Data'!$D$6&lt;'Pause Rules'!$B$4,"Low stock","In stock"))</f>
        <v>0 units · Out of stock</v>
      </c>
      <c r="D6" s="23" t="str">
        <f>"Campaign "&amp;'Input Data'!$M$6&amp;"  /  Listing "&amp;'Input Data'!$N$6</f>
        <v>Campaign ON  /  Listing ON</v>
      </c>
      <c r="E6" s="24" t="str">
        <f t="shared" si="0"/>
        <v>Stock</v>
      </c>
      <c r="F6" s="24" t="str">
        <f>IF(NOT($P6),"—",IF(AND($E6="Stock",'Input Data'!$D$6&lt;=0),"High",IF('Input Data'!$K$6&gt;='Pause Rules'!$B$9,"High",IF('Input Data'!$K$6&gt;='Pause Rules'!$B$10,"Medium","Low"))))</f>
        <v>High</v>
      </c>
      <c r="G6" s="20" t="str">
        <f>IF($L6,IF('Input Data'!$M$6="OFF","Campaign","Listing")&amp;" is already OFF — pause rules are not evaluated.",IF($M6,IF('Input Data'!$D$6&lt;=0,"Out of stock (0 units) — ads paused so spend does not run on an unbuyable item.","Low stock ("&amp;'Input Data'!$D$6&amp;" units, below the "&amp;'Pause Rules'!$B$4&amp;"-unit floor) — ads paused to protect the remaining units."),IF($N6,"30D ACOS "&amp;'Input Data'!$E$6&amp;"% is at or above the "&amp;'Pause Rules'!$B$5&amp;"% ceiling; 7D ACOS "&amp;'Input Data'!$F$6&amp;"% is not improving — paused.",IF($O6,'Input Data'!$I$6&amp;" clicks over 14 days with 0 orders; spend "&amp;TEXT('Input Data'!$J$6,"£0.00")&amp;" is at or above the "&amp;TEXT('Pause Rules'!$B$8,"£0.00")&amp;" floor — paused.","No rule matched — the listing keeps running."))))</f>
        <v>Out of stock (0 units) — ads paused so spend does not run on an unbuyable item.</v>
      </c>
      <c r="H6" s="24" t="str">
        <f t="shared" si="1"/>
        <v>PAUSED</v>
      </c>
      <c r="I6" s="25" t="s">
        <v>32</v>
      </c>
      <c r="J6" s="26"/>
      <c r="L6" t="b">
        <f>OR('Input Data'!$M$6="OFF",'Input Data'!$N$6="OFF")</f>
        <v>0</v>
      </c>
      <c r="M6" t="b">
        <f>AND('Pause Rules'!$B$11,'Input Data'!$D$6&lt;'Pause Rules'!$B$4)</f>
        <v>1</v>
      </c>
      <c r="N6" t="b">
        <f>AND('Pause Rules'!$B$12,'Input Data'!$G$6&gt;0,'Input Data'!$E$6&gt;='Pause Rules'!$B$5,NOT('Input Data'!$F$6&lt;'Pause Rules'!$B$6))</f>
        <v>0</v>
      </c>
      <c r="O6" t="b">
        <f>AND('Pause Rules'!$B$13,'Input Data'!$H$6=0,'Input Data'!$I$6&gt;='Pause Rules'!$B$7,NOT('Input Data'!$J$6&lt;'Pause Rules'!$B$8))</f>
        <v>0</v>
      </c>
      <c r="P6" t="b">
        <f t="shared" si="2"/>
        <v>1</v>
      </c>
    </row>
    <row r="7" spans="1:16" ht="45.75" customHeight="1" x14ac:dyDescent="0.25">
      <c r="A7" s="20" t="s">
        <v>39</v>
      </c>
      <c r="B7" s="21" t="s">
        <v>40</v>
      </c>
      <c r="C7" s="22" t="str">
        <f>'Input Data'!$D$7&amp;" units · "&amp;IF('Input Data'!$D$7&lt;=0,"Out of stock",IF('Input Data'!$D$7&lt;'Pause Rules'!$B$4,"Low stock","In stock"))</f>
        <v>0 units · Out of stock</v>
      </c>
      <c r="D7" s="23" t="str">
        <f>"Campaign "&amp;'Input Data'!$M$7&amp;"  /  Listing "&amp;'Input Data'!$N$7</f>
        <v>Campaign ON  /  Listing ON</v>
      </c>
      <c r="E7" s="24" t="str">
        <f t="shared" si="0"/>
        <v>Stock</v>
      </c>
      <c r="F7" s="24" t="str">
        <f>IF(NOT($P7),"—",IF(AND($E7="Stock",'Input Data'!$D$7&lt;=0),"High",IF('Input Data'!$K$7&gt;='Pause Rules'!$B$9,"High",IF('Input Data'!$K$7&gt;='Pause Rules'!$B$10,"Medium","Low"))))</f>
        <v>High</v>
      </c>
      <c r="G7" s="20" t="str">
        <f>IF($L7,IF('Input Data'!$M$7="OFF","Campaign","Listing")&amp;" is already OFF — pause rules are not evaluated.",IF($M7,IF('Input Data'!$D$7&lt;=0,"Out of stock (0 units) — ads paused so spend does not run on an unbuyable item.","Low stock ("&amp;'Input Data'!$D$7&amp;" units, below the "&amp;'Pause Rules'!$B$4&amp;"-unit floor) — ads paused to protect the remaining units."),IF($N7,"30D ACOS "&amp;'Input Data'!$E$7&amp;"% is at or above the "&amp;'Pause Rules'!$B$5&amp;"% ceiling; 7D ACOS "&amp;'Input Data'!$F$7&amp;"% is not improving — paused.",IF($O7,'Input Data'!$I$7&amp;" clicks over 14 days with 0 orders; spend "&amp;TEXT('Input Data'!$J$7,"£0.00")&amp;" is at or above the "&amp;TEXT('Pause Rules'!$B$8,"£0.00")&amp;" floor — paused.","No rule matched — the listing keeps running."))))</f>
        <v>Out of stock (0 units) — ads paused so spend does not run on an unbuyable item.</v>
      </c>
      <c r="H7" s="24" t="str">
        <f t="shared" si="1"/>
        <v>PAUSED</v>
      </c>
      <c r="I7" s="25" t="s">
        <v>32</v>
      </c>
      <c r="J7" s="26"/>
      <c r="L7" t="b">
        <f>OR('Input Data'!$M$7="OFF",'Input Data'!$N$7="OFF")</f>
        <v>0</v>
      </c>
      <c r="M7" t="b">
        <f>AND('Pause Rules'!$B$11,'Input Data'!$D$7&lt;'Pause Rules'!$B$4)</f>
        <v>1</v>
      </c>
      <c r="N7" t="b">
        <f>AND('Pause Rules'!$B$12,'Input Data'!$G$7&gt;0,'Input Data'!$E$7&gt;='Pause Rules'!$B$5,NOT('Input Data'!$F$7&lt;'Pause Rules'!$B$6))</f>
        <v>0</v>
      </c>
      <c r="O7" t="b">
        <f>AND('Pause Rules'!$B$13,'Input Data'!$H$7=0,'Input Data'!$I$7&gt;='Pause Rules'!$B$7,NOT('Input Data'!$J$7&lt;'Pause Rules'!$B$8))</f>
        <v>0</v>
      </c>
      <c r="P7" t="b">
        <f t="shared" si="2"/>
        <v>1</v>
      </c>
    </row>
    <row r="8" spans="1:16" ht="45.75" customHeight="1" x14ac:dyDescent="0.25">
      <c r="A8" s="20" t="s">
        <v>41</v>
      </c>
      <c r="B8" s="21" t="s">
        <v>42</v>
      </c>
      <c r="C8" s="22" t="str">
        <f>'Input Data'!$D$8&amp;" units · "&amp;IF('Input Data'!$D$8&lt;=0,"Out of stock",IF('Input Data'!$D$8&lt;'Pause Rules'!$B$4,"Low stock","In stock"))</f>
        <v>4 units · Low stock</v>
      </c>
      <c r="D8" s="23" t="str">
        <f>"Campaign "&amp;'Input Data'!$M$8&amp;"  /  Listing "&amp;'Input Data'!$N$8</f>
        <v>Campaign ON  /  Listing ON</v>
      </c>
      <c r="E8" s="24" t="str">
        <f t="shared" si="0"/>
        <v>Stock</v>
      </c>
      <c r="F8" s="24" t="str">
        <f>IF(NOT($P8),"—",IF(AND($E8="Stock",'Input Data'!$D$8&lt;=0),"High",IF('Input Data'!$K$8&gt;='Pause Rules'!$B$9,"High",IF('Input Data'!$K$8&gt;='Pause Rules'!$B$10,"Medium","Low"))))</f>
        <v>Medium</v>
      </c>
      <c r="G8" s="20" t="str">
        <f>IF($L8,IF('Input Data'!$M$8="OFF","Campaign","Listing")&amp;" is already OFF — pause rules are not evaluated.",IF($M8,IF('Input Data'!$D$8&lt;=0,"Out of stock (0 units) — ads paused so spend does not run on an unbuyable item.","Low stock ("&amp;'Input Data'!$D$8&amp;" units, below the "&amp;'Pause Rules'!$B$4&amp;"-unit floor) — ads paused to protect the remaining units."),IF($N8,"30D ACOS "&amp;'Input Data'!$E$8&amp;"% is at or above the "&amp;'Pause Rules'!$B$5&amp;"% ceiling; 7D ACOS "&amp;'Input Data'!$F$8&amp;"% is not improving — paused.",IF($O8,'Input Data'!$I$8&amp;" clicks over 14 days with 0 orders; spend "&amp;TEXT('Input Data'!$J$8,"£0.00")&amp;" is at or above the "&amp;TEXT('Pause Rules'!$B$8,"£0.00")&amp;" floor — paused.","No rule matched — the listing keeps running."))))</f>
        <v>Low stock (4 units, below the 5-unit floor) — ads paused to protect the remaining units.</v>
      </c>
      <c r="H8" s="24" t="str">
        <f t="shared" si="1"/>
        <v>PAUSED</v>
      </c>
      <c r="I8" s="25" t="s">
        <v>32</v>
      </c>
      <c r="J8" s="26"/>
      <c r="L8" t="b">
        <f>OR('Input Data'!$M$8="OFF",'Input Data'!$N$8="OFF")</f>
        <v>0</v>
      </c>
      <c r="M8" t="b">
        <f>AND('Pause Rules'!$B$11,'Input Data'!$D$8&lt;'Pause Rules'!$B$4)</f>
        <v>1</v>
      </c>
      <c r="N8" t="b">
        <f>AND('Pause Rules'!$B$12,'Input Data'!$G$8&gt;0,'Input Data'!$E$8&gt;='Pause Rules'!$B$5,NOT('Input Data'!$F$8&lt;'Pause Rules'!$B$6))</f>
        <v>0</v>
      </c>
      <c r="O8" t="b">
        <f>AND('Pause Rules'!$B$13,'Input Data'!$H$8=0,'Input Data'!$I$8&gt;='Pause Rules'!$B$7,NOT('Input Data'!$J$8&lt;'Pause Rules'!$B$8))</f>
        <v>0</v>
      </c>
      <c r="P8" t="b">
        <f t="shared" si="2"/>
        <v>1</v>
      </c>
    </row>
    <row r="9" spans="1:16" ht="45.75" customHeight="1" x14ac:dyDescent="0.25">
      <c r="A9" s="20" t="s">
        <v>43</v>
      </c>
      <c r="B9" s="21" t="s">
        <v>44</v>
      </c>
      <c r="C9" s="22" t="str">
        <f>'Input Data'!$D$9&amp;" units · "&amp;IF('Input Data'!$D$9&lt;=0,"Out of stock",IF('Input Data'!$D$9&lt;'Pause Rules'!$B$4,"Low stock","In stock"))</f>
        <v>6 units · In stock</v>
      </c>
      <c r="D9" s="23" t="str">
        <f>"Campaign "&amp;'Input Data'!$M$9&amp;"  /  Listing "&amp;'Input Data'!$N$9</f>
        <v>Campaign ON  /  Listing ON</v>
      </c>
      <c r="E9" s="24" t="str">
        <f t="shared" si="0"/>
        <v>Rule 1</v>
      </c>
      <c r="F9" s="24" t="str">
        <f>IF(NOT($P9),"—",IF(AND($E9="Stock",'Input Data'!$D$9&lt;=0),"High",IF('Input Data'!$K$9&gt;='Pause Rules'!$B$9,"High",IF('Input Data'!$K$9&gt;='Pause Rules'!$B$10,"Medium","Low"))))</f>
        <v>Medium</v>
      </c>
      <c r="G9" s="20" t="str">
        <f>IF($L9,IF('Input Data'!$M$9="OFF","Campaign","Listing")&amp;" is already OFF — pause rules are not evaluated.",IF($M9,IF('Input Data'!$D$9&lt;=0,"Out of stock (0 units) — ads paused so spend does not run on an unbuyable item.","Low stock ("&amp;'Input Data'!$D$9&amp;" units, below the "&amp;'Pause Rules'!$B$4&amp;"-unit floor) — ads paused to protect the remaining units."),IF($N9,"30D ACOS "&amp;'Input Data'!$E$9&amp;"% is at or above the "&amp;'Pause Rules'!$B$5&amp;"% ceiling; 7D ACOS "&amp;'Input Data'!$F$9&amp;"% is not improving — paused.",IF($O9,'Input Data'!$I$9&amp;" clicks over 14 days with 0 orders; spend "&amp;TEXT('Input Data'!$J$9,"£0.00")&amp;" is at or above the "&amp;TEXT('Pause Rules'!$B$8,"£0.00")&amp;" floor — paused.","No rule matched — the listing keeps running."))))</f>
        <v>30D ACOS 47.7% is at or above the 40% ceiling; 7D ACOS 47.7% is not improving — paused.</v>
      </c>
      <c r="H9" s="24" t="str">
        <f t="shared" si="1"/>
        <v>PAUSED</v>
      </c>
      <c r="I9" s="25" t="s">
        <v>32</v>
      </c>
      <c r="J9" s="26"/>
      <c r="L9" t="b">
        <f>OR('Input Data'!$M$9="OFF",'Input Data'!$N$9="OFF")</f>
        <v>0</v>
      </c>
      <c r="M9" t="b">
        <f>AND('Pause Rules'!$B$11,'Input Data'!$D$9&lt;'Pause Rules'!$B$4)</f>
        <v>0</v>
      </c>
      <c r="N9" t="b">
        <f>AND('Pause Rules'!$B$12,'Input Data'!$G$9&gt;0,'Input Data'!$E$9&gt;='Pause Rules'!$B$5,NOT('Input Data'!$F$9&lt;'Pause Rules'!$B$6))</f>
        <v>1</v>
      </c>
      <c r="O9" t="b">
        <f>AND('Pause Rules'!$B$13,'Input Data'!$H$9=0,'Input Data'!$I$9&gt;='Pause Rules'!$B$7,NOT('Input Data'!$J$9&lt;'Pause Rules'!$B$8))</f>
        <v>0</v>
      </c>
      <c r="P9" t="b">
        <f t="shared" si="2"/>
        <v>1</v>
      </c>
    </row>
    <row r="10" spans="1:16" ht="45.75" customHeight="1" x14ac:dyDescent="0.25">
      <c r="A10" s="20" t="s">
        <v>45</v>
      </c>
      <c r="B10" s="21" t="s">
        <v>46</v>
      </c>
      <c r="C10" s="22" t="str">
        <f>'Input Data'!$D$10&amp;" units · "&amp;IF('Input Data'!$D$10&lt;=0,"Out of stock",IF('Input Data'!$D$10&lt;'Pause Rules'!$B$4,"Low stock","In stock"))</f>
        <v>31 units · In stock</v>
      </c>
      <c r="D10" s="23" t="str">
        <f>"Campaign "&amp;'Input Data'!$M$10&amp;"  /  Listing "&amp;'Input Data'!$N$10</f>
        <v>Campaign ON  /  Listing ON</v>
      </c>
      <c r="E10" s="24" t="str">
        <f t="shared" si="0"/>
        <v>Rule 1</v>
      </c>
      <c r="F10" s="24" t="str">
        <f>IF(NOT($P10),"—",IF(AND($E10="Stock",'Input Data'!$D$10&lt;=0),"High",IF('Input Data'!$K$10&gt;='Pause Rules'!$B$9,"High",IF('Input Data'!$K$10&gt;='Pause Rules'!$B$10,"Medium","Low"))))</f>
        <v>Medium</v>
      </c>
      <c r="G10" s="20" t="str">
        <f>IF($L10,IF('Input Data'!$M$10="OFF","Campaign","Listing")&amp;" is already OFF — pause rules are not evaluated.",IF($M10,IF('Input Data'!$D$10&lt;=0,"Out of stock (0 units) — ads paused so spend does not run on an unbuyable item.","Low stock ("&amp;'Input Data'!$D$10&amp;" units, below the "&amp;'Pause Rules'!$B$4&amp;"-unit floor) — ads paused to protect the remaining units."),IF($N10,"30D ACOS "&amp;'Input Data'!$E$10&amp;"% is at or above the "&amp;'Pause Rules'!$B$5&amp;"% ceiling; 7D ACOS "&amp;'Input Data'!$F$10&amp;"% is not improving — paused.",IF($O10,'Input Data'!$I$10&amp;" clicks over 14 days with 0 orders; spend "&amp;TEXT('Input Data'!$J$10,"£0.00")&amp;" is at or above the "&amp;TEXT('Pause Rules'!$B$8,"£0.00")&amp;" floor — paused.","No rule matched — the listing keeps running."))))</f>
        <v>30D ACOS 86.1% is at or above the 40% ceiling; 7D ACOS 86.1% is not improving — paused.</v>
      </c>
      <c r="H10" s="24" t="str">
        <f t="shared" si="1"/>
        <v>PAUSED</v>
      </c>
      <c r="I10" s="25" t="s">
        <v>32</v>
      </c>
      <c r="J10" s="26"/>
      <c r="L10" t="b">
        <f>OR('Input Data'!$M$10="OFF",'Input Data'!$N$10="OFF")</f>
        <v>0</v>
      </c>
      <c r="M10" t="b">
        <f>AND('Pause Rules'!$B$11,'Input Data'!$D$10&lt;'Pause Rules'!$B$4)</f>
        <v>0</v>
      </c>
      <c r="N10" t="b">
        <f>AND('Pause Rules'!$B$12,'Input Data'!$G$10&gt;0,'Input Data'!$E$10&gt;='Pause Rules'!$B$5,NOT('Input Data'!$F$10&lt;'Pause Rules'!$B$6))</f>
        <v>1</v>
      </c>
      <c r="O10" t="b">
        <f>AND('Pause Rules'!$B$13,'Input Data'!$H$10=0,'Input Data'!$I$10&gt;='Pause Rules'!$B$7,NOT('Input Data'!$J$10&lt;'Pause Rules'!$B$8))</f>
        <v>0</v>
      </c>
      <c r="P10" t="b">
        <f t="shared" si="2"/>
        <v>1</v>
      </c>
    </row>
    <row r="11" spans="1:16" ht="45.75" customHeight="1" x14ac:dyDescent="0.25">
      <c r="A11" s="20" t="s">
        <v>47</v>
      </c>
      <c r="B11" s="21" t="s">
        <v>48</v>
      </c>
      <c r="C11" s="22" t="str">
        <f>'Input Data'!$D$11&amp;" units · "&amp;IF('Input Data'!$D$11&lt;=0,"Out of stock",IF('Input Data'!$D$11&lt;'Pause Rules'!$B$4,"Low stock","In stock"))</f>
        <v>88 units · In stock</v>
      </c>
      <c r="D11" s="23" t="str">
        <f>"Campaign "&amp;'Input Data'!$M$11&amp;"  /  Listing "&amp;'Input Data'!$N$11</f>
        <v>Campaign ON  /  Listing ON</v>
      </c>
      <c r="E11" s="24" t="str">
        <f t="shared" si="0"/>
        <v>Rule 1</v>
      </c>
      <c r="F11" s="24" t="str">
        <f>IF(NOT($P11),"—",IF(AND($E11="Stock",'Input Data'!$D$11&lt;=0),"High",IF('Input Data'!$K$11&gt;='Pause Rules'!$B$9,"High",IF('Input Data'!$K$11&gt;='Pause Rules'!$B$10,"Medium","Low"))))</f>
        <v>Medium</v>
      </c>
      <c r="G11" s="20" t="str">
        <f>IF($L11,IF('Input Data'!$M$11="OFF","Campaign","Listing")&amp;" is already OFF — pause rules are not evaluated.",IF($M11,IF('Input Data'!$D$11&lt;=0,"Out of stock (0 units) — ads paused so spend does not run on an unbuyable item.","Low stock ("&amp;'Input Data'!$D$11&amp;" units, below the "&amp;'Pause Rules'!$B$4&amp;"-unit floor) — ads paused to protect the remaining units."),IF($N11,"30D ACOS "&amp;'Input Data'!$E$11&amp;"% is at or above the "&amp;'Pause Rules'!$B$5&amp;"% ceiling; 7D ACOS "&amp;'Input Data'!$F$11&amp;"% is not improving — paused.",IF($O11,'Input Data'!$I$11&amp;" clicks over 14 days with 0 orders; spend "&amp;TEXT('Input Data'!$J$11,"£0.00")&amp;" is at or above the "&amp;TEXT('Pause Rules'!$B$8,"£0.00")&amp;" floor — paused.","No rule matched — the listing keeps running."))))</f>
        <v>30D ACOS 83.5% is at or above the 40% ceiling; 7D ACOS 83.5% is not improving — paused.</v>
      </c>
      <c r="H11" s="24" t="str">
        <f t="shared" si="1"/>
        <v>PAUSED</v>
      </c>
      <c r="I11" s="25" t="s">
        <v>32</v>
      </c>
      <c r="J11" s="26"/>
      <c r="L11" t="b">
        <f>OR('Input Data'!$M$11="OFF",'Input Data'!$N$11="OFF")</f>
        <v>0</v>
      </c>
      <c r="M11" t="b">
        <f>AND('Pause Rules'!$B$11,'Input Data'!$D$11&lt;'Pause Rules'!$B$4)</f>
        <v>0</v>
      </c>
      <c r="N11" t="b">
        <f>AND('Pause Rules'!$B$12,'Input Data'!$G$11&gt;0,'Input Data'!$E$11&gt;='Pause Rules'!$B$5,NOT('Input Data'!$F$11&lt;'Pause Rules'!$B$6))</f>
        <v>1</v>
      </c>
      <c r="O11" t="b">
        <f>AND('Pause Rules'!$B$13,'Input Data'!$H$11=0,'Input Data'!$I$11&gt;='Pause Rules'!$B$7,NOT('Input Data'!$J$11&lt;'Pause Rules'!$B$8))</f>
        <v>0</v>
      </c>
      <c r="P11" t="b">
        <f t="shared" si="2"/>
        <v>1</v>
      </c>
    </row>
    <row r="12" spans="1:16" ht="45.75" customHeight="1" x14ac:dyDescent="0.25">
      <c r="A12" s="20" t="s">
        <v>49</v>
      </c>
      <c r="B12" s="21" t="s">
        <v>50</v>
      </c>
      <c r="C12" s="22" t="str">
        <f>'Input Data'!$D$12&amp;" units · "&amp;IF('Input Data'!$D$12&lt;=0,"Out of stock",IF('Input Data'!$D$12&lt;'Pause Rules'!$B$4,"Low stock","In stock"))</f>
        <v>44 units · In stock</v>
      </c>
      <c r="D12" s="23" t="str">
        <f>"Campaign "&amp;'Input Data'!$M$12&amp;"  /  Listing "&amp;'Input Data'!$N$12</f>
        <v>Campaign ON  /  Listing ON</v>
      </c>
      <c r="E12" s="24" t="str">
        <f t="shared" si="0"/>
        <v>Rule 1</v>
      </c>
      <c r="F12" s="24" t="str">
        <f>IF(NOT($P12),"—",IF(AND($E12="Stock",'Input Data'!$D$12&lt;=0),"High",IF('Input Data'!$K$12&gt;='Pause Rules'!$B$9,"High",IF('Input Data'!$K$12&gt;='Pause Rules'!$B$10,"Medium","Low"))))</f>
        <v>Medium</v>
      </c>
      <c r="G12" s="20" t="str">
        <f>IF($L12,IF('Input Data'!$M$12="OFF","Campaign","Listing")&amp;" is already OFF — pause rules are not evaluated.",IF($M12,IF('Input Data'!$D$12&lt;=0,"Out of stock (0 units) — ads paused so spend does not run on an unbuyable item.","Low stock ("&amp;'Input Data'!$D$12&amp;" units, below the "&amp;'Pause Rules'!$B$4&amp;"-unit floor) — ads paused to protect the remaining units."),IF($N12,"30D ACOS "&amp;'Input Data'!$E$12&amp;"% is at or above the "&amp;'Pause Rules'!$B$5&amp;"% ceiling; 7D ACOS "&amp;'Input Data'!$F$12&amp;"% is not improving — paused.",IF($O12,'Input Data'!$I$12&amp;" clicks over 14 days with 0 orders; spend "&amp;TEXT('Input Data'!$J$12,"£0.00")&amp;" is at or above the "&amp;TEXT('Pause Rules'!$B$8,"£0.00")&amp;" floor — paused.","No rule matched — the listing keeps running."))))</f>
        <v>30D ACOS 51.4% is at or above the 40% ceiling; 7D ACOS 51.4% is not improving — paused.</v>
      </c>
      <c r="H12" s="24" t="str">
        <f t="shared" si="1"/>
        <v>PAUSED</v>
      </c>
      <c r="I12" s="25" t="s">
        <v>32</v>
      </c>
      <c r="J12" s="26"/>
      <c r="L12" t="b">
        <f>OR('Input Data'!$M$12="OFF",'Input Data'!$N$12="OFF")</f>
        <v>0</v>
      </c>
      <c r="M12" t="b">
        <f>AND('Pause Rules'!$B$11,'Input Data'!$D$12&lt;'Pause Rules'!$B$4)</f>
        <v>0</v>
      </c>
      <c r="N12" t="b">
        <f>AND('Pause Rules'!$B$12,'Input Data'!$G$12&gt;0,'Input Data'!$E$12&gt;='Pause Rules'!$B$5,NOT('Input Data'!$F$12&lt;'Pause Rules'!$B$6))</f>
        <v>1</v>
      </c>
      <c r="O12" t="b">
        <f>AND('Pause Rules'!$B$13,'Input Data'!$H$12=0,'Input Data'!$I$12&gt;='Pause Rules'!$B$7,NOT('Input Data'!$J$12&lt;'Pause Rules'!$B$8))</f>
        <v>0</v>
      </c>
      <c r="P12" t="b">
        <f t="shared" si="2"/>
        <v>1</v>
      </c>
    </row>
    <row r="13" spans="1:16" ht="45.75" customHeight="1" x14ac:dyDescent="0.25">
      <c r="A13" s="20" t="s">
        <v>51</v>
      </c>
      <c r="B13" s="21" t="s">
        <v>52</v>
      </c>
      <c r="C13" s="22" t="str">
        <f>'Input Data'!$D$13&amp;" units · "&amp;IF('Input Data'!$D$13&lt;=0,"Out of stock",IF('Input Data'!$D$13&lt;'Pause Rules'!$B$4,"Low stock","In stock"))</f>
        <v>3 units · Low stock</v>
      </c>
      <c r="D13" s="23" t="str">
        <f>"Campaign "&amp;'Input Data'!$M$13&amp;"  /  Listing "&amp;'Input Data'!$N$13</f>
        <v>Campaign ON  /  Listing ON</v>
      </c>
      <c r="E13" s="24" t="str">
        <f t="shared" si="0"/>
        <v>Stock</v>
      </c>
      <c r="F13" s="24" t="str">
        <f>IF(NOT($P13),"—",IF(AND($E13="Stock",'Input Data'!$D$13&lt;=0),"High",IF('Input Data'!$K$13&gt;='Pause Rules'!$B$9,"High",IF('Input Data'!$K$13&gt;='Pause Rules'!$B$10,"Medium","Low"))))</f>
        <v>Medium</v>
      </c>
      <c r="G13" s="20" t="str">
        <f>IF($L13,IF('Input Data'!$M$13="OFF","Campaign","Listing")&amp;" is already OFF — pause rules are not evaluated.",IF($M13,IF('Input Data'!$D$13&lt;=0,"Out of stock (0 units) — ads paused so spend does not run on an unbuyable item.","Low stock ("&amp;'Input Data'!$D$13&amp;" units, below the "&amp;'Pause Rules'!$B$4&amp;"-unit floor) — ads paused to protect the remaining units."),IF($N13,"30D ACOS "&amp;'Input Data'!$E$13&amp;"% is at or above the "&amp;'Pause Rules'!$B$5&amp;"% ceiling; 7D ACOS "&amp;'Input Data'!$F$13&amp;"% is not improving — paused.",IF($O13,'Input Data'!$I$13&amp;" clicks over 14 days with 0 orders; spend "&amp;TEXT('Input Data'!$J$13,"£0.00")&amp;" is at or above the "&amp;TEXT('Pause Rules'!$B$8,"£0.00")&amp;" floor — paused.","No rule matched — the listing keeps running."))))</f>
        <v>Low stock (3 units, below the 5-unit floor) — ads paused to protect the remaining units.</v>
      </c>
      <c r="H13" s="24" t="str">
        <f t="shared" si="1"/>
        <v>PAUSED</v>
      </c>
      <c r="I13" s="25" t="s">
        <v>32</v>
      </c>
      <c r="J13" s="26"/>
      <c r="L13" t="b">
        <f>OR('Input Data'!$M$13="OFF",'Input Data'!$N$13="OFF")</f>
        <v>0</v>
      </c>
      <c r="M13" t="b">
        <f>AND('Pause Rules'!$B$11,'Input Data'!$D$13&lt;'Pause Rules'!$B$4)</f>
        <v>1</v>
      </c>
      <c r="N13" t="b">
        <f>AND('Pause Rules'!$B$12,'Input Data'!$G$13&gt;0,'Input Data'!$E$13&gt;='Pause Rules'!$B$5,NOT('Input Data'!$F$13&lt;'Pause Rules'!$B$6))</f>
        <v>0</v>
      </c>
      <c r="O13" t="b">
        <f>AND('Pause Rules'!$B$13,'Input Data'!$H$13=0,'Input Data'!$I$13&gt;='Pause Rules'!$B$7,NOT('Input Data'!$J$13&lt;'Pause Rules'!$B$8))</f>
        <v>0</v>
      </c>
      <c r="P13" t="b">
        <f t="shared" si="2"/>
        <v>1</v>
      </c>
    </row>
    <row r="14" spans="1:16" ht="45.75" customHeight="1" x14ac:dyDescent="0.25">
      <c r="A14" s="20" t="s">
        <v>53</v>
      </c>
      <c r="B14" s="21" t="s">
        <v>54</v>
      </c>
      <c r="C14" s="22" t="str">
        <f>'Input Data'!$D$14&amp;" units · "&amp;IF('Input Data'!$D$14&lt;=0,"Out of stock",IF('Input Data'!$D$14&lt;'Pause Rules'!$B$4,"Low stock","In stock"))</f>
        <v>2 units · Low stock</v>
      </c>
      <c r="D14" s="23" t="str">
        <f>"Campaign "&amp;'Input Data'!$M$14&amp;"  /  Listing "&amp;'Input Data'!$N$14</f>
        <v>Campaign ON  /  Listing ON</v>
      </c>
      <c r="E14" s="24" t="str">
        <f t="shared" si="0"/>
        <v>Stock</v>
      </c>
      <c r="F14" s="24" t="str">
        <f>IF(NOT($P14),"—",IF(AND($E14="Stock",'Input Data'!$D$14&lt;=0),"High",IF('Input Data'!$K$14&gt;='Pause Rules'!$B$9,"High",IF('Input Data'!$K$14&gt;='Pause Rules'!$B$10,"Medium","Low"))))</f>
        <v>Low</v>
      </c>
      <c r="G14" s="20" t="str">
        <f>IF($L14,IF('Input Data'!$M$14="OFF","Campaign","Listing")&amp;" is already OFF — pause rules are not evaluated.",IF($M14,IF('Input Data'!$D$14&lt;=0,"Out of stock (0 units) — ads paused so spend does not run on an unbuyable item.","Low stock ("&amp;'Input Data'!$D$14&amp;" units, below the "&amp;'Pause Rules'!$B$4&amp;"-unit floor) — ads paused to protect the remaining units."),IF($N14,"30D ACOS "&amp;'Input Data'!$E$14&amp;"% is at or above the "&amp;'Pause Rules'!$B$5&amp;"% ceiling; 7D ACOS "&amp;'Input Data'!$F$14&amp;"% is not improving — paused.",IF($O14,'Input Data'!$I$14&amp;" clicks over 14 days with 0 orders; spend "&amp;TEXT('Input Data'!$J$14,"£0.00")&amp;" is at or above the "&amp;TEXT('Pause Rules'!$B$8,"£0.00")&amp;" floor — paused.","No rule matched — the listing keeps running."))))</f>
        <v>Low stock (2 units, below the 5-unit floor) — ads paused to protect the remaining units.</v>
      </c>
      <c r="H14" s="24" t="str">
        <f t="shared" si="1"/>
        <v>PAUSED</v>
      </c>
      <c r="I14" s="25" t="s">
        <v>32</v>
      </c>
      <c r="J14" s="26"/>
      <c r="L14" t="b">
        <f>OR('Input Data'!$M$14="OFF",'Input Data'!$N$14="OFF")</f>
        <v>0</v>
      </c>
      <c r="M14" t="b">
        <f>AND('Pause Rules'!$B$11,'Input Data'!$D$14&lt;'Pause Rules'!$B$4)</f>
        <v>1</v>
      </c>
      <c r="N14" t="b">
        <f>AND('Pause Rules'!$B$12,'Input Data'!$G$14&gt;0,'Input Data'!$E$14&gt;='Pause Rules'!$B$5,NOT('Input Data'!$F$14&lt;'Pause Rules'!$B$6))</f>
        <v>0</v>
      </c>
      <c r="O14" t="b">
        <f>AND('Pause Rules'!$B$13,'Input Data'!$H$14=0,'Input Data'!$I$14&gt;='Pause Rules'!$B$7,NOT('Input Data'!$J$14&lt;'Pause Rules'!$B$8))</f>
        <v>0</v>
      </c>
      <c r="P14" t="b">
        <f t="shared" si="2"/>
        <v>1</v>
      </c>
    </row>
    <row r="15" spans="1:16" ht="45.75" customHeight="1" x14ac:dyDescent="0.25">
      <c r="A15" s="20" t="s">
        <v>55</v>
      </c>
      <c r="B15" s="21" t="s">
        <v>56</v>
      </c>
      <c r="C15" s="22" t="str">
        <f>'Input Data'!$D$15&amp;" units · "&amp;IF('Input Data'!$D$15&lt;=0,"Out of stock",IF('Input Data'!$D$15&lt;'Pause Rules'!$B$4,"Low stock","In stock"))</f>
        <v>1 units · Low stock</v>
      </c>
      <c r="D15" s="23" t="str">
        <f>"Campaign "&amp;'Input Data'!$M$15&amp;"  /  Listing "&amp;'Input Data'!$N$15</f>
        <v>Campaign ON  /  Listing ON</v>
      </c>
      <c r="E15" s="24" t="str">
        <f t="shared" si="0"/>
        <v>Stock</v>
      </c>
      <c r="F15" s="24" t="str">
        <f>IF(NOT($P15),"—",IF(AND($E15="Stock",'Input Data'!$D$15&lt;=0),"High",IF('Input Data'!$K$15&gt;='Pause Rules'!$B$9,"High",IF('Input Data'!$K$15&gt;='Pause Rules'!$B$10,"Medium","Low"))))</f>
        <v>Low</v>
      </c>
      <c r="G15" s="20" t="str">
        <f>IF($L15,IF('Input Data'!$M$15="OFF","Campaign","Listing")&amp;" is already OFF — pause rules are not evaluated.",IF($M15,IF('Input Data'!$D$15&lt;=0,"Out of stock (0 units) — ads paused so spend does not run on an unbuyable item.","Low stock ("&amp;'Input Data'!$D$15&amp;" units, below the "&amp;'Pause Rules'!$B$4&amp;"-unit floor) — ads paused to protect the remaining units."),IF($N15,"30D ACOS "&amp;'Input Data'!$E$15&amp;"% is at or above the "&amp;'Pause Rules'!$B$5&amp;"% ceiling; 7D ACOS "&amp;'Input Data'!$F$15&amp;"% is not improving — paused.",IF($O15,'Input Data'!$I$15&amp;" clicks over 14 days with 0 orders; spend "&amp;TEXT('Input Data'!$J$15,"£0.00")&amp;" is at or above the "&amp;TEXT('Pause Rules'!$B$8,"£0.00")&amp;" floor — paused.","No rule matched — the listing keeps running."))))</f>
        <v>Low stock (1 units, below the 5-unit floor) — ads paused to protect the remaining units.</v>
      </c>
      <c r="H15" s="24" t="str">
        <f t="shared" si="1"/>
        <v>PAUSED</v>
      </c>
      <c r="I15" s="25" t="s">
        <v>32</v>
      </c>
      <c r="J15" s="26"/>
      <c r="L15" t="b">
        <f>OR('Input Data'!$M$15="OFF",'Input Data'!$N$15="OFF")</f>
        <v>0</v>
      </c>
      <c r="M15" t="b">
        <f>AND('Pause Rules'!$B$11,'Input Data'!$D$15&lt;'Pause Rules'!$B$4)</f>
        <v>1</v>
      </c>
      <c r="N15" t="b">
        <f>AND('Pause Rules'!$B$12,'Input Data'!$G$15&gt;0,'Input Data'!$E$15&gt;='Pause Rules'!$B$5,NOT('Input Data'!$F$15&lt;'Pause Rules'!$B$6))</f>
        <v>0</v>
      </c>
      <c r="O15" t="b">
        <f>AND('Pause Rules'!$B$13,'Input Data'!$H$15=0,'Input Data'!$I$15&gt;='Pause Rules'!$B$7,NOT('Input Data'!$J$15&lt;'Pause Rules'!$B$8))</f>
        <v>0</v>
      </c>
      <c r="P15" t="b">
        <f t="shared" si="2"/>
        <v>1</v>
      </c>
    </row>
    <row r="16" spans="1:16" ht="45.75" customHeight="1" x14ac:dyDescent="0.25">
      <c r="A16" s="20" t="s">
        <v>57</v>
      </c>
      <c r="B16" s="21" t="s">
        <v>58</v>
      </c>
      <c r="C16" s="22" t="str">
        <f>'Input Data'!$D$16&amp;" units · "&amp;IF('Input Data'!$D$16&lt;=0,"Out of stock",IF('Input Data'!$D$16&lt;'Pause Rules'!$B$4,"Low stock","In stock"))</f>
        <v>2 units · Low stock</v>
      </c>
      <c r="D16" s="23" t="str">
        <f>"Campaign "&amp;'Input Data'!$M$16&amp;"  /  Listing "&amp;'Input Data'!$N$16</f>
        <v>Campaign ON  /  Listing ON</v>
      </c>
      <c r="E16" s="24" t="str">
        <f t="shared" si="0"/>
        <v>Stock</v>
      </c>
      <c r="F16" s="24" t="str">
        <f>IF(NOT($P16),"—",IF(AND($E16="Stock",'Input Data'!$D$16&lt;=0),"High",IF('Input Data'!$K$16&gt;='Pause Rules'!$B$9,"High",IF('Input Data'!$K$16&gt;='Pause Rules'!$B$10,"Medium","Low"))))</f>
        <v>Low</v>
      </c>
      <c r="G16" s="20" t="str">
        <f>IF($L16,IF('Input Data'!$M$16="OFF","Campaign","Listing")&amp;" is already OFF — pause rules are not evaluated.",IF($M16,IF('Input Data'!$D$16&lt;=0,"Out of stock (0 units) — ads paused so spend does not run on an unbuyable item.","Low stock ("&amp;'Input Data'!$D$16&amp;" units, below the "&amp;'Pause Rules'!$B$4&amp;"-unit floor) — ads paused to protect the remaining units."),IF($N16,"30D ACOS "&amp;'Input Data'!$E$16&amp;"% is at or above the "&amp;'Pause Rules'!$B$5&amp;"% ceiling; 7D ACOS "&amp;'Input Data'!$F$16&amp;"% is not improving — paused.",IF($O16,'Input Data'!$I$16&amp;" clicks over 14 days with 0 orders; spend "&amp;TEXT('Input Data'!$J$16,"£0.00")&amp;" is at or above the "&amp;TEXT('Pause Rules'!$B$8,"£0.00")&amp;" floor — paused.","No rule matched — the listing keeps running."))))</f>
        <v>Low stock (2 units, below the 5-unit floor) — ads paused to protect the remaining units.</v>
      </c>
      <c r="H16" s="24" t="str">
        <f t="shared" si="1"/>
        <v>PAUSED</v>
      </c>
      <c r="I16" s="25" t="s">
        <v>32</v>
      </c>
      <c r="J16" s="26"/>
      <c r="L16" t="b">
        <f>OR('Input Data'!$M$16="OFF",'Input Data'!$N$16="OFF")</f>
        <v>0</v>
      </c>
      <c r="M16" t="b">
        <f>AND('Pause Rules'!$B$11,'Input Data'!$D$16&lt;'Pause Rules'!$B$4)</f>
        <v>1</v>
      </c>
      <c r="N16" t="b">
        <f>AND('Pause Rules'!$B$12,'Input Data'!$G$16&gt;0,'Input Data'!$E$16&gt;='Pause Rules'!$B$5,NOT('Input Data'!$F$16&lt;'Pause Rules'!$B$6))</f>
        <v>0</v>
      </c>
      <c r="O16" t="b">
        <f>AND('Pause Rules'!$B$13,'Input Data'!$H$16=0,'Input Data'!$I$16&gt;='Pause Rules'!$B$7,NOT('Input Data'!$J$16&lt;'Pause Rules'!$B$8))</f>
        <v>0</v>
      </c>
      <c r="P16" t="b">
        <f t="shared" si="2"/>
        <v>1</v>
      </c>
    </row>
    <row r="17" spans="1:16" ht="45.75" customHeight="1" x14ac:dyDescent="0.25">
      <c r="A17" s="20" t="s">
        <v>59</v>
      </c>
      <c r="B17" s="21" t="s">
        <v>60</v>
      </c>
      <c r="C17" s="22" t="str">
        <f>'Input Data'!$D$17&amp;" units · "&amp;IF('Input Data'!$D$17&lt;=0,"Out of stock",IF('Input Data'!$D$17&lt;'Pause Rules'!$B$4,"Low stock","In stock"))</f>
        <v>47 units · In stock</v>
      </c>
      <c r="D17" s="23" t="str">
        <f>"Campaign "&amp;'Input Data'!$M$17&amp;"  /  Listing "&amp;'Input Data'!$N$17</f>
        <v>Campaign ON  /  Listing ON</v>
      </c>
      <c r="E17" s="24" t="str">
        <f t="shared" si="0"/>
        <v>Rule 2</v>
      </c>
      <c r="F17" s="24" t="str">
        <f>IF(NOT($P17),"—",IF(AND($E17="Stock",'Input Data'!$D$17&lt;=0),"High",IF('Input Data'!$K$17&gt;='Pause Rules'!$B$9,"High",IF('Input Data'!$K$17&gt;='Pause Rules'!$B$10,"Medium","Low"))))</f>
        <v>Low</v>
      </c>
      <c r="G17" s="20" t="str">
        <f>IF($L17,IF('Input Data'!$M$17="OFF","Campaign","Listing")&amp;" is already OFF — pause rules are not evaluated.",IF($M17,IF('Input Data'!$D$17&lt;=0,"Out of stock (0 units) — ads paused so spend does not run on an unbuyable item.","Low stock ("&amp;'Input Data'!$D$17&amp;" units, below the "&amp;'Pause Rules'!$B$4&amp;"-unit floor) — ads paused to protect the remaining units."),IF($N17,"30D ACOS "&amp;'Input Data'!$E$17&amp;"% is at or above the "&amp;'Pause Rules'!$B$5&amp;"% ceiling; 7D ACOS "&amp;'Input Data'!$F$17&amp;"% is not improving — paused.",IF($O17,'Input Data'!$I$17&amp;" clicks over 14 days with 0 orders; spend "&amp;TEXT('Input Data'!$J$17,"£0.00")&amp;" is at or above the "&amp;TEXT('Pause Rules'!$B$8,"£0.00")&amp;" floor — paused.","No rule matched — the listing keeps running."))))</f>
        <v>57 clicks over 14 days with 0 orders; spend £10.45 is at or above the £2.50 floor — paused.</v>
      </c>
      <c r="H17" s="24" t="str">
        <f t="shared" si="1"/>
        <v>PAUSED</v>
      </c>
      <c r="I17" s="25" t="s">
        <v>32</v>
      </c>
      <c r="J17" s="26"/>
      <c r="L17" t="b">
        <f>OR('Input Data'!$M$17="OFF",'Input Data'!$N$17="OFF")</f>
        <v>0</v>
      </c>
      <c r="M17" t="b">
        <f>AND('Pause Rules'!$B$11,'Input Data'!$D$17&lt;'Pause Rules'!$B$4)</f>
        <v>0</v>
      </c>
      <c r="N17" t="b">
        <f>AND('Pause Rules'!$B$12,'Input Data'!$G$17&gt;0,'Input Data'!$E$17&gt;='Pause Rules'!$B$5,NOT('Input Data'!$F$17&lt;'Pause Rules'!$B$6))</f>
        <v>0</v>
      </c>
      <c r="O17" t="b">
        <f>AND('Pause Rules'!$B$13,'Input Data'!$H$17=0,'Input Data'!$I$17&gt;='Pause Rules'!$B$7,NOT('Input Data'!$J$17&lt;'Pause Rules'!$B$8))</f>
        <v>1</v>
      </c>
      <c r="P17" t="b">
        <f t="shared" si="2"/>
        <v>1</v>
      </c>
    </row>
    <row r="18" spans="1:16" ht="45.75" customHeight="1" x14ac:dyDescent="0.25">
      <c r="A18" s="20" t="s">
        <v>61</v>
      </c>
      <c r="B18" s="21" t="s">
        <v>62</v>
      </c>
      <c r="C18" s="22" t="str">
        <f>'Input Data'!$D$18&amp;" units · "&amp;IF('Input Data'!$D$18&lt;=0,"Out of stock",IF('Input Data'!$D$18&lt;'Pause Rules'!$B$4,"Low stock","In stock"))</f>
        <v>3 units · Low stock</v>
      </c>
      <c r="D18" s="23" t="str">
        <f>"Campaign "&amp;'Input Data'!$M$18&amp;"  /  Listing "&amp;'Input Data'!$N$18</f>
        <v>Campaign ON  /  Listing ON</v>
      </c>
      <c r="E18" s="24" t="str">
        <f t="shared" si="0"/>
        <v>Stock</v>
      </c>
      <c r="F18" s="24" t="str">
        <f>IF(NOT($P18),"—",IF(AND($E18="Stock",'Input Data'!$D$18&lt;=0),"High",IF('Input Data'!$K$18&gt;='Pause Rules'!$B$9,"High",IF('Input Data'!$K$18&gt;='Pause Rules'!$B$10,"Medium","Low"))))</f>
        <v>Low</v>
      </c>
      <c r="G18" s="20" t="str">
        <f>IF($L18,IF('Input Data'!$M$18="OFF","Campaign","Listing")&amp;" is already OFF — pause rules are not evaluated.",IF($M18,IF('Input Data'!$D$18&lt;=0,"Out of stock (0 units) — ads paused so spend does not run on an unbuyable item.","Low stock ("&amp;'Input Data'!$D$18&amp;" units, below the "&amp;'Pause Rules'!$B$4&amp;"-unit floor) — ads paused to protect the remaining units."),IF($N18,"30D ACOS "&amp;'Input Data'!$E$18&amp;"% is at or above the "&amp;'Pause Rules'!$B$5&amp;"% ceiling; 7D ACOS "&amp;'Input Data'!$F$18&amp;"% is not improving — paused.",IF($O18,'Input Data'!$I$18&amp;" clicks over 14 days with 0 orders; spend "&amp;TEXT('Input Data'!$J$18,"£0.00")&amp;" is at or above the "&amp;TEXT('Pause Rules'!$B$8,"£0.00")&amp;" floor — paused.","No rule matched — the listing keeps running."))))</f>
        <v>Low stock (3 units, below the 5-unit floor) — ads paused to protect the remaining units.</v>
      </c>
      <c r="H18" s="24" t="str">
        <f t="shared" si="1"/>
        <v>PAUSED</v>
      </c>
      <c r="I18" s="25" t="s">
        <v>32</v>
      </c>
      <c r="J18" s="26"/>
      <c r="L18" t="b">
        <f>OR('Input Data'!$M$18="OFF",'Input Data'!$N$18="OFF")</f>
        <v>0</v>
      </c>
      <c r="M18" t="b">
        <f>AND('Pause Rules'!$B$11,'Input Data'!$D$18&lt;'Pause Rules'!$B$4)</f>
        <v>1</v>
      </c>
      <c r="N18" t="b">
        <f>AND('Pause Rules'!$B$12,'Input Data'!$G$18&gt;0,'Input Data'!$E$18&gt;='Pause Rules'!$B$5,NOT('Input Data'!$F$18&lt;'Pause Rules'!$B$6))</f>
        <v>0</v>
      </c>
      <c r="O18" t="b">
        <f>AND('Pause Rules'!$B$13,'Input Data'!$H$18=0,'Input Data'!$I$18&gt;='Pause Rules'!$B$7,NOT('Input Data'!$J$18&lt;'Pause Rules'!$B$8))</f>
        <v>0</v>
      </c>
      <c r="P18" t="b">
        <f t="shared" si="2"/>
        <v>1</v>
      </c>
    </row>
    <row r="19" spans="1:16" ht="45.75" customHeight="1" x14ac:dyDescent="0.25">
      <c r="A19" s="20" t="s">
        <v>63</v>
      </c>
      <c r="B19" s="21" t="s">
        <v>64</v>
      </c>
      <c r="C19" s="22" t="str">
        <f>'Input Data'!$D$19&amp;" units · "&amp;IF('Input Data'!$D$19&lt;=0,"Out of stock",IF('Input Data'!$D$19&lt;'Pause Rules'!$B$4,"Low stock","In stock"))</f>
        <v>55 units · In stock</v>
      </c>
      <c r="D19" s="23" t="str">
        <f>"Campaign "&amp;'Input Data'!$M$19&amp;"  /  Listing "&amp;'Input Data'!$N$19</f>
        <v>Campaign OFF  /  Listing OFF</v>
      </c>
      <c r="E19" s="24" t="str">
        <f t="shared" si="0"/>
        <v>—</v>
      </c>
      <c r="F19" s="24" t="str">
        <f>IF(NOT($P19),"—",IF(AND($E19="Stock",'Input Data'!$D$19&lt;=0),"High",IF('Input Data'!$K$19&gt;='Pause Rules'!$B$9,"High",IF('Input Data'!$K$19&gt;='Pause Rules'!$B$10,"Medium","Low"))))</f>
        <v>—</v>
      </c>
      <c r="G19" s="20" t="str">
        <f>IF($L19,IF('Input Data'!$M$19="OFF","Campaign","Listing")&amp;" is already OFF — pause rules are not evaluated.",IF($M19,IF('Input Data'!$D$19&lt;=0,"Out of stock (0 units) — ads paused so spend does not run on an unbuyable item.","Low stock ("&amp;'Input Data'!$D$19&amp;" units, below the "&amp;'Pause Rules'!$B$4&amp;"-unit floor) — ads paused to protect the remaining units."),IF($N19,"30D ACOS "&amp;'Input Data'!$E$19&amp;"% is at or above the "&amp;'Pause Rules'!$B$5&amp;"% ceiling; 7D ACOS "&amp;'Input Data'!$F$19&amp;"% is not improving — paused.",IF($O19,'Input Data'!$I$19&amp;" clicks over 14 days with 0 orders; spend "&amp;TEXT('Input Data'!$J$19,"£0.00")&amp;" is at or above the "&amp;TEXT('Pause Rules'!$B$8,"£0.00")&amp;" floor — paused.","No rule matched — the listing keeps running."))))</f>
        <v>Campaign is already OFF — pause rules are not evaluated.</v>
      </c>
      <c r="H19" s="24" t="str">
        <f t="shared" si="1"/>
        <v>ALREADY OFF</v>
      </c>
      <c r="I19" s="25" t="s">
        <v>32</v>
      </c>
      <c r="J19" s="26"/>
      <c r="L19" t="b">
        <f>OR('Input Data'!$M$19="OFF",'Input Data'!$N$19="OFF")</f>
        <v>1</v>
      </c>
      <c r="M19" t="b">
        <f>AND('Pause Rules'!$B$11,'Input Data'!$D$19&lt;'Pause Rules'!$B$4)</f>
        <v>0</v>
      </c>
      <c r="N19" t="b">
        <f>AND('Pause Rules'!$B$12,'Input Data'!$G$19&gt;0,'Input Data'!$E$19&gt;='Pause Rules'!$B$5,NOT('Input Data'!$F$19&lt;'Pause Rules'!$B$6))</f>
        <v>1</v>
      </c>
      <c r="O19" t="b">
        <f>AND('Pause Rules'!$B$13,'Input Data'!$H$19=0,'Input Data'!$I$19&gt;='Pause Rules'!$B$7,NOT('Input Data'!$J$19&lt;'Pause Rules'!$B$8))</f>
        <v>0</v>
      </c>
      <c r="P19" t="b">
        <f t="shared" si="2"/>
        <v>0</v>
      </c>
    </row>
    <row r="20" spans="1:16" ht="45.75" customHeight="1" x14ac:dyDescent="0.25">
      <c r="A20" s="20" t="s">
        <v>65</v>
      </c>
      <c r="B20" s="21" t="s">
        <v>66</v>
      </c>
      <c r="C20" s="22" t="str">
        <f>'Input Data'!$D$20&amp;" units · "&amp;IF('Input Data'!$D$20&lt;=0,"Out of stock",IF('Input Data'!$D$20&lt;'Pause Rules'!$B$4,"Low stock","In stock"))</f>
        <v>9 units · In stock</v>
      </c>
      <c r="D20" s="23" t="str">
        <f>"Campaign "&amp;'Input Data'!$M$20&amp;"  /  Listing "&amp;'Input Data'!$N$20</f>
        <v>Campaign OFF  /  Listing OFF</v>
      </c>
      <c r="E20" s="24" t="str">
        <f t="shared" si="0"/>
        <v>—</v>
      </c>
      <c r="F20" s="24" t="str">
        <f>IF(NOT($P20),"—",IF(AND($E20="Stock",'Input Data'!$D$20&lt;=0),"High",IF('Input Data'!$K$20&gt;='Pause Rules'!$B$9,"High",IF('Input Data'!$K$20&gt;='Pause Rules'!$B$10,"Medium","Low"))))</f>
        <v>—</v>
      </c>
      <c r="G20" s="20" t="str">
        <f>IF($L20,IF('Input Data'!$M$20="OFF","Campaign","Listing")&amp;" is already OFF — pause rules are not evaluated.",IF($M20,IF('Input Data'!$D$20&lt;=0,"Out of stock (0 units) — ads paused so spend does not run on an unbuyable item.","Low stock ("&amp;'Input Data'!$D$20&amp;" units, below the "&amp;'Pause Rules'!$B$4&amp;"-unit floor) — ads paused to protect the remaining units."),IF($N20,"30D ACOS "&amp;'Input Data'!$E$20&amp;"% is at or above the "&amp;'Pause Rules'!$B$5&amp;"% ceiling; 7D ACOS "&amp;'Input Data'!$F$20&amp;"% is not improving — paused.",IF($O20,'Input Data'!$I$20&amp;" clicks over 14 days with 0 orders; spend "&amp;TEXT('Input Data'!$J$20,"£0.00")&amp;" is at or above the "&amp;TEXT('Pause Rules'!$B$8,"£0.00")&amp;" floor — paused.","No rule matched — the listing keeps running."))))</f>
        <v>Campaign is already OFF — pause rules are not evaluated.</v>
      </c>
      <c r="H20" s="24" t="str">
        <f t="shared" si="1"/>
        <v>ALREADY OFF</v>
      </c>
      <c r="I20" s="25" t="s">
        <v>32</v>
      </c>
      <c r="J20" s="26"/>
      <c r="L20" t="b">
        <f>OR('Input Data'!$M$20="OFF",'Input Data'!$N$20="OFF")</f>
        <v>1</v>
      </c>
      <c r="M20" t="b">
        <f>AND('Pause Rules'!$B$11,'Input Data'!$D$20&lt;'Pause Rules'!$B$4)</f>
        <v>0</v>
      </c>
      <c r="N20" t="b">
        <f>AND('Pause Rules'!$B$12,'Input Data'!$G$20&gt;0,'Input Data'!$E$20&gt;='Pause Rules'!$B$5,NOT('Input Data'!$F$20&lt;'Pause Rules'!$B$6))</f>
        <v>0</v>
      </c>
      <c r="O20" t="b">
        <f>AND('Pause Rules'!$B$13,'Input Data'!$H$20=0,'Input Data'!$I$20&gt;='Pause Rules'!$B$7,NOT('Input Data'!$J$20&lt;'Pause Rules'!$B$8))</f>
        <v>0</v>
      </c>
      <c r="P20" t="b">
        <f t="shared" si="2"/>
        <v>0</v>
      </c>
    </row>
    <row r="21" spans="1:16" ht="45.75" customHeight="1" x14ac:dyDescent="0.25">
      <c r="A21" s="20" t="s">
        <v>67</v>
      </c>
      <c r="B21" s="21" t="s">
        <v>68</v>
      </c>
      <c r="C21" s="22" t="str">
        <f>'Input Data'!$D$21&amp;" units · "&amp;IF('Input Data'!$D$21&lt;=0,"Out of stock",IF('Input Data'!$D$21&lt;'Pause Rules'!$B$4,"Low stock","In stock"))</f>
        <v>12 units · In stock</v>
      </c>
      <c r="D21" s="23" t="str">
        <f>"Campaign "&amp;'Input Data'!$M$21&amp;"  /  Listing "&amp;'Input Data'!$N$21</f>
        <v>Campaign OFF  /  Listing OFF</v>
      </c>
      <c r="E21" s="24" t="str">
        <f t="shared" si="0"/>
        <v>—</v>
      </c>
      <c r="F21" s="24" t="str">
        <f>IF(NOT($P21),"—",IF(AND($E21="Stock",'Input Data'!$D$21&lt;=0),"High",IF('Input Data'!$K$21&gt;='Pause Rules'!$B$9,"High",IF('Input Data'!$K$21&gt;='Pause Rules'!$B$10,"Medium","Low"))))</f>
        <v>—</v>
      </c>
      <c r="G21" s="20" t="str">
        <f>IF($L21,IF('Input Data'!$M$21="OFF","Campaign","Listing")&amp;" is already OFF — pause rules are not evaluated.",IF($M21,IF('Input Data'!$D$21&lt;=0,"Out of stock (0 units) — ads paused so spend does not run on an unbuyable item.","Low stock ("&amp;'Input Data'!$D$21&amp;" units, below the "&amp;'Pause Rules'!$B$4&amp;"-unit floor) — ads paused to protect the remaining units."),IF($N21,"30D ACOS "&amp;'Input Data'!$E$21&amp;"% is at or above the "&amp;'Pause Rules'!$B$5&amp;"% ceiling; 7D ACOS "&amp;'Input Data'!$F$21&amp;"% is not improving — paused.",IF($O21,'Input Data'!$I$21&amp;" clicks over 14 days with 0 orders; spend "&amp;TEXT('Input Data'!$J$21,"£0.00")&amp;" is at or above the "&amp;TEXT('Pause Rules'!$B$8,"£0.00")&amp;" floor — paused.","No rule matched — the listing keeps running."))))</f>
        <v>Campaign is already OFF — pause rules are not evaluated.</v>
      </c>
      <c r="H21" s="24" t="str">
        <f t="shared" si="1"/>
        <v>ALREADY OFF</v>
      </c>
      <c r="I21" s="25" t="s">
        <v>32</v>
      </c>
      <c r="J21" s="26"/>
      <c r="L21" t="b">
        <f>OR('Input Data'!$M$21="OFF",'Input Data'!$N$21="OFF")</f>
        <v>1</v>
      </c>
      <c r="M21" t="b">
        <f>AND('Pause Rules'!$B$11,'Input Data'!$D$21&lt;'Pause Rules'!$B$4)</f>
        <v>0</v>
      </c>
      <c r="N21" t="b">
        <f>AND('Pause Rules'!$B$12,'Input Data'!$G$21&gt;0,'Input Data'!$E$21&gt;='Pause Rules'!$B$5,NOT('Input Data'!$F$21&lt;'Pause Rules'!$B$6))</f>
        <v>1</v>
      </c>
      <c r="O21" t="b">
        <f>AND('Pause Rules'!$B$13,'Input Data'!$H$21=0,'Input Data'!$I$21&gt;='Pause Rules'!$B$7,NOT('Input Data'!$J$21&lt;'Pause Rules'!$B$8))</f>
        <v>0</v>
      </c>
      <c r="P21" t="b">
        <f t="shared" si="2"/>
        <v>0</v>
      </c>
    </row>
    <row r="22" spans="1:16" ht="45.75" customHeight="1" x14ac:dyDescent="0.25">
      <c r="A22" s="20" t="s">
        <v>69</v>
      </c>
      <c r="B22" s="21" t="s">
        <v>70</v>
      </c>
      <c r="C22" s="22" t="str">
        <f>'Input Data'!$D$22&amp;" units · "&amp;IF('Input Data'!$D$22&lt;=0,"Out of stock",IF('Input Data'!$D$22&lt;'Pause Rules'!$B$4,"Low stock","In stock"))</f>
        <v>0 units · Out of stock</v>
      </c>
      <c r="D22" s="23" t="str">
        <f>"Campaign "&amp;'Input Data'!$M$22&amp;"  /  Listing "&amp;'Input Data'!$N$22</f>
        <v>Campaign OFF  /  Listing OFF</v>
      </c>
      <c r="E22" s="24" t="str">
        <f t="shared" si="0"/>
        <v>—</v>
      </c>
      <c r="F22" s="24" t="str">
        <f>IF(NOT($P22),"—",IF(AND($E22="Stock",'Input Data'!$D$22&lt;=0),"High",IF('Input Data'!$K$22&gt;='Pause Rules'!$B$9,"High",IF('Input Data'!$K$22&gt;='Pause Rules'!$B$10,"Medium","Low"))))</f>
        <v>—</v>
      </c>
      <c r="G22" s="20" t="str">
        <f>IF($L22,IF('Input Data'!$M$22="OFF","Campaign","Listing")&amp;" is already OFF — pause rules are not evaluated.",IF($M22,IF('Input Data'!$D$22&lt;=0,"Out of stock (0 units) — ads paused so spend does not run on an unbuyable item.","Low stock ("&amp;'Input Data'!$D$22&amp;" units, below the "&amp;'Pause Rules'!$B$4&amp;"-unit floor) — ads paused to protect the remaining units."),IF($N22,"30D ACOS "&amp;'Input Data'!$E$22&amp;"% is at or above the "&amp;'Pause Rules'!$B$5&amp;"% ceiling; 7D ACOS "&amp;'Input Data'!$F$22&amp;"% is not improving — paused.",IF($O22,'Input Data'!$I$22&amp;" clicks over 14 days with 0 orders; spend "&amp;TEXT('Input Data'!$J$22,"£0.00")&amp;" is at or above the "&amp;TEXT('Pause Rules'!$B$8,"£0.00")&amp;" floor — paused.","No rule matched — the listing keeps running."))))</f>
        <v>Campaign is already OFF — pause rules are not evaluated.</v>
      </c>
      <c r="H22" s="24" t="str">
        <f t="shared" si="1"/>
        <v>ALREADY OFF</v>
      </c>
      <c r="I22" s="25" t="s">
        <v>32</v>
      </c>
      <c r="J22" s="26"/>
      <c r="L22" t="b">
        <f>OR('Input Data'!$M$22="OFF",'Input Data'!$N$22="OFF")</f>
        <v>1</v>
      </c>
      <c r="M22" t="b">
        <f>AND('Pause Rules'!$B$11,'Input Data'!$D$22&lt;'Pause Rules'!$B$4)</f>
        <v>1</v>
      </c>
      <c r="N22" t="b">
        <f>AND('Pause Rules'!$B$12,'Input Data'!$G$22&gt;0,'Input Data'!$E$22&gt;='Pause Rules'!$B$5,NOT('Input Data'!$F$22&lt;'Pause Rules'!$B$6))</f>
        <v>1</v>
      </c>
      <c r="O22" t="b">
        <f>AND('Pause Rules'!$B$13,'Input Data'!$H$22=0,'Input Data'!$I$22&gt;='Pause Rules'!$B$7,NOT('Input Data'!$J$22&lt;'Pause Rules'!$B$8))</f>
        <v>0</v>
      </c>
      <c r="P22" t="b">
        <f t="shared" si="2"/>
        <v>0</v>
      </c>
    </row>
    <row r="23" spans="1:16" ht="45.75" customHeight="1" x14ac:dyDescent="0.25">
      <c r="A23" s="20" t="s">
        <v>71</v>
      </c>
      <c r="B23" s="21" t="s">
        <v>72</v>
      </c>
      <c r="C23" s="22" t="str">
        <f>'Input Data'!$D$23&amp;" units · "&amp;IF('Input Data'!$D$23&lt;=0,"Out of stock",IF('Input Data'!$D$23&lt;'Pause Rules'!$B$4,"Low stock","In stock"))</f>
        <v>18 units · In stock</v>
      </c>
      <c r="D23" s="23" t="str">
        <f>"Campaign "&amp;'Input Data'!$M$23&amp;"  /  Listing "&amp;'Input Data'!$N$23</f>
        <v>Campaign OFF  /  Listing OFF</v>
      </c>
      <c r="E23" s="24" t="str">
        <f t="shared" si="0"/>
        <v>—</v>
      </c>
      <c r="F23" s="24" t="str">
        <f>IF(NOT($P23),"—",IF(AND($E23="Stock",'Input Data'!$D$23&lt;=0),"High",IF('Input Data'!$K$23&gt;='Pause Rules'!$B$9,"High",IF('Input Data'!$K$23&gt;='Pause Rules'!$B$10,"Medium","Low"))))</f>
        <v>—</v>
      </c>
      <c r="G23" s="20" t="str">
        <f>IF($L23,IF('Input Data'!$M$23="OFF","Campaign","Listing")&amp;" is already OFF — pause rules are not evaluated.",IF($M23,IF('Input Data'!$D$23&lt;=0,"Out of stock (0 units) — ads paused so spend does not run on an unbuyable item.","Low stock ("&amp;'Input Data'!$D$23&amp;" units, below the "&amp;'Pause Rules'!$B$4&amp;"-unit floor) — ads paused to protect the remaining units."),IF($N23,"30D ACOS "&amp;'Input Data'!$E$23&amp;"% is at or above the "&amp;'Pause Rules'!$B$5&amp;"% ceiling; 7D ACOS "&amp;'Input Data'!$F$23&amp;"% is not improving — paused.",IF($O23,'Input Data'!$I$23&amp;" clicks over 14 days with 0 orders; spend "&amp;TEXT('Input Data'!$J$23,"£0.00")&amp;" is at or above the "&amp;TEXT('Pause Rules'!$B$8,"£0.00")&amp;" floor — paused.","No rule matched — the listing keeps running."))))</f>
        <v>Campaign is already OFF — pause rules are not evaluated.</v>
      </c>
      <c r="H23" s="24" t="str">
        <f t="shared" si="1"/>
        <v>ALREADY OFF</v>
      </c>
      <c r="I23" s="25" t="s">
        <v>32</v>
      </c>
      <c r="J23" s="26"/>
      <c r="L23" t="b">
        <f>OR('Input Data'!$M$23="OFF",'Input Data'!$N$23="OFF")</f>
        <v>1</v>
      </c>
      <c r="M23" t="b">
        <f>AND('Pause Rules'!$B$11,'Input Data'!$D$23&lt;'Pause Rules'!$B$4)</f>
        <v>0</v>
      </c>
      <c r="N23" t="b">
        <f>AND('Pause Rules'!$B$12,'Input Data'!$G$23&gt;0,'Input Data'!$E$23&gt;='Pause Rules'!$B$5,NOT('Input Data'!$F$23&lt;'Pause Rules'!$B$6))</f>
        <v>1</v>
      </c>
      <c r="O23" t="b">
        <f>AND('Pause Rules'!$B$13,'Input Data'!$H$23=0,'Input Data'!$I$23&gt;='Pause Rules'!$B$7,NOT('Input Data'!$J$23&lt;'Pause Rules'!$B$8))</f>
        <v>0</v>
      </c>
      <c r="P23" t="b">
        <f t="shared" si="2"/>
        <v>0</v>
      </c>
    </row>
    <row r="24" spans="1:16" ht="45.75" customHeight="1" x14ac:dyDescent="0.25">
      <c r="A24" s="20" t="s">
        <v>73</v>
      </c>
      <c r="B24" s="21" t="s">
        <v>74</v>
      </c>
      <c r="C24" s="22" t="str">
        <f>'Input Data'!$D$24&amp;" units · "&amp;IF('Input Data'!$D$24&lt;=0,"Out of stock",IF('Input Data'!$D$24&lt;'Pause Rules'!$B$4,"Low stock","In stock"))</f>
        <v>71 units · In stock</v>
      </c>
      <c r="D24" s="23" t="str">
        <f>"Campaign "&amp;'Input Data'!$M$24&amp;"  /  Listing "&amp;'Input Data'!$N$24</f>
        <v>Campaign OFF  /  Listing OFF</v>
      </c>
      <c r="E24" s="24" t="str">
        <f t="shared" si="0"/>
        <v>—</v>
      </c>
      <c r="F24" s="24" t="str">
        <f>IF(NOT($P24),"—",IF(AND($E24="Stock",'Input Data'!$D$24&lt;=0),"High",IF('Input Data'!$K$24&gt;='Pause Rules'!$B$9,"High",IF('Input Data'!$K$24&gt;='Pause Rules'!$B$10,"Medium","Low"))))</f>
        <v>—</v>
      </c>
      <c r="G24" s="20" t="str">
        <f>IF($L24,IF('Input Data'!$M$24="OFF","Campaign","Listing")&amp;" is already OFF — pause rules are not evaluated.",IF($M24,IF('Input Data'!$D$24&lt;=0,"Out of stock (0 units) — ads paused so spend does not run on an unbuyable item.","Low stock ("&amp;'Input Data'!$D$24&amp;" units, below the "&amp;'Pause Rules'!$B$4&amp;"-unit floor) — ads paused to protect the remaining units."),IF($N24,"30D ACOS "&amp;'Input Data'!$E$24&amp;"% is at or above the "&amp;'Pause Rules'!$B$5&amp;"% ceiling; 7D ACOS "&amp;'Input Data'!$F$24&amp;"% is not improving — paused.",IF($O24,'Input Data'!$I$24&amp;" clicks over 14 days with 0 orders; spend "&amp;TEXT('Input Data'!$J$24,"£0.00")&amp;" is at or above the "&amp;TEXT('Pause Rules'!$B$8,"£0.00")&amp;" floor — paused.","No rule matched — the listing keeps running."))))</f>
        <v>Campaign is already OFF — pause rules are not evaluated.</v>
      </c>
      <c r="H24" s="24" t="str">
        <f t="shared" si="1"/>
        <v>ALREADY OFF</v>
      </c>
      <c r="I24" s="25" t="s">
        <v>32</v>
      </c>
      <c r="J24" s="26"/>
      <c r="L24" t="b">
        <f>OR('Input Data'!$M$24="OFF",'Input Data'!$N$24="OFF")</f>
        <v>1</v>
      </c>
      <c r="M24" t="b">
        <f>AND('Pause Rules'!$B$11,'Input Data'!$D$24&lt;'Pause Rules'!$B$4)</f>
        <v>0</v>
      </c>
      <c r="N24" t="b">
        <f>AND('Pause Rules'!$B$12,'Input Data'!$G$24&gt;0,'Input Data'!$E$24&gt;='Pause Rules'!$B$5,NOT('Input Data'!$F$24&lt;'Pause Rules'!$B$6))</f>
        <v>0</v>
      </c>
      <c r="O24" t="b">
        <f>AND('Pause Rules'!$B$13,'Input Data'!$H$24=0,'Input Data'!$I$24&gt;='Pause Rules'!$B$7,NOT('Input Data'!$J$24&lt;'Pause Rules'!$B$8))</f>
        <v>0</v>
      </c>
      <c r="P24" t="b">
        <f t="shared" si="2"/>
        <v>0</v>
      </c>
    </row>
    <row r="25" spans="1:16" ht="45.75" customHeight="1" x14ac:dyDescent="0.25">
      <c r="A25" s="20" t="s">
        <v>75</v>
      </c>
      <c r="B25" s="21" t="s">
        <v>76</v>
      </c>
      <c r="C25" s="22" t="str">
        <f>'Input Data'!$D$25&amp;" units · "&amp;IF('Input Data'!$D$25&lt;=0,"Out of stock",IF('Input Data'!$D$25&lt;'Pause Rules'!$B$4,"Low stock","In stock"))</f>
        <v>0 units · Out of stock</v>
      </c>
      <c r="D25" s="23" t="str">
        <f>"Campaign "&amp;'Input Data'!$M$25&amp;"  /  Listing "&amp;'Input Data'!$N$25</f>
        <v>Campaign OFF  /  Listing OFF</v>
      </c>
      <c r="E25" s="24" t="str">
        <f t="shared" si="0"/>
        <v>—</v>
      </c>
      <c r="F25" s="24" t="str">
        <f>IF(NOT($P25),"—",IF(AND($E25="Stock",'Input Data'!$D$25&lt;=0),"High",IF('Input Data'!$K$25&gt;='Pause Rules'!$B$9,"High",IF('Input Data'!$K$25&gt;='Pause Rules'!$B$10,"Medium","Low"))))</f>
        <v>—</v>
      </c>
      <c r="G25" s="20" t="str">
        <f>IF($L25,IF('Input Data'!$M$25="OFF","Campaign","Listing")&amp;" is already OFF — pause rules are not evaluated.",IF($M25,IF('Input Data'!$D$25&lt;=0,"Out of stock (0 units) — ads paused so spend does not run on an unbuyable item.","Low stock ("&amp;'Input Data'!$D$25&amp;" units, below the "&amp;'Pause Rules'!$B$4&amp;"-unit floor) — ads paused to protect the remaining units."),IF($N25,"30D ACOS "&amp;'Input Data'!$E$25&amp;"% is at or above the "&amp;'Pause Rules'!$B$5&amp;"% ceiling; 7D ACOS "&amp;'Input Data'!$F$25&amp;"% is not improving — paused.",IF($O25,'Input Data'!$I$25&amp;" clicks over 14 days with 0 orders; spend "&amp;TEXT('Input Data'!$J$25,"£0.00")&amp;" is at or above the "&amp;TEXT('Pause Rules'!$B$8,"£0.00")&amp;" floor — paused.","No rule matched — the listing keeps running."))))</f>
        <v>Campaign is already OFF — pause rules are not evaluated.</v>
      </c>
      <c r="H25" s="24" t="str">
        <f t="shared" si="1"/>
        <v>ALREADY OFF</v>
      </c>
      <c r="I25" s="25" t="s">
        <v>32</v>
      </c>
      <c r="J25" s="26"/>
      <c r="L25" t="b">
        <f>OR('Input Data'!$M$25="OFF",'Input Data'!$N$25="OFF")</f>
        <v>1</v>
      </c>
      <c r="M25" t="b">
        <f>AND('Pause Rules'!$B$11,'Input Data'!$D$25&lt;'Pause Rules'!$B$4)</f>
        <v>1</v>
      </c>
      <c r="N25" t="b">
        <f>AND('Pause Rules'!$B$12,'Input Data'!$G$25&gt;0,'Input Data'!$E$25&gt;='Pause Rules'!$B$5,NOT('Input Data'!$F$25&lt;'Pause Rules'!$B$6))</f>
        <v>1</v>
      </c>
      <c r="O25" t="b">
        <f>AND('Pause Rules'!$B$13,'Input Data'!$H$25=0,'Input Data'!$I$25&gt;='Pause Rules'!$B$7,NOT('Input Data'!$J$25&lt;'Pause Rules'!$B$8))</f>
        <v>0</v>
      </c>
      <c r="P25" t="b">
        <f t="shared" si="2"/>
        <v>0</v>
      </c>
    </row>
    <row r="26" spans="1:16" ht="45.75" customHeight="1" x14ac:dyDescent="0.25">
      <c r="A26" s="20" t="s">
        <v>77</v>
      </c>
      <c r="B26" s="21" t="s">
        <v>78</v>
      </c>
      <c r="C26" s="22" t="str">
        <f>'Input Data'!$D$26&amp;" units · "&amp;IF('Input Data'!$D$26&lt;=0,"Out of stock",IF('Input Data'!$D$26&lt;'Pause Rules'!$B$4,"Low stock","In stock"))</f>
        <v>240 units · In stock</v>
      </c>
      <c r="D26" s="23" t="str">
        <f>"Campaign "&amp;'Input Data'!$M$26&amp;"  /  Listing "&amp;'Input Data'!$N$26</f>
        <v>Campaign ON  /  Listing ON</v>
      </c>
      <c r="E26" s="24" t="str">
        <f t="shared" si="0"/>
        <v>—</v>
      </c>
      <c r="F26" s="24" t="str">
        <f>IF(NOT($P26),"—",IF(AND($E26="Stock",'Input Data'!$D$26&lt;=0),"High",IF('Input Data'!$K$26&gt;='Pause Rules'!$B$9,"High",IF('Input Data'!$K$26&gt;='Pause Rules'!$B$10,"Medium","Low"))))</f>
        <v>—</v>
      </c>
      <c r="G26" s="20" t="str">
        <f>IF($L26,IF('Input Data'!$M$26="OFF","Campaign","Listing")&amp;" is already OFF — pause rules are not evaluated.",IF($M26,IF('Input Data'!$D$26&lt;=0,"Out of stock (0 units) — ads paused so spend does not run on an unbuyable item.","Low stock ("&amp;'Input Data'!$D$26&amp;" units, below the "&amp;'Pause Rules'!$B$4&amp;"-unit floor) — ads paused to protect the remaining units."),IF($N26,"30D ACOS "&amp;'Input Data'!$E$26&amp;"% is at or above the "&amp;'Pause Rules'!$B$5&amp;"% ceiling; 7D ACOS "&amp;'Input Data'!$F$26&amp;"% is not improving — paused.",IF($O26,'Input Data'!$I$26&amp;" clicks over 14 days with 0 orders; spend "&amp;TEXT('Input Data'!$J$26,"£0.00")&amp;" is at or above the "&amp;TEXT('Pause Rules'!$B$8,"£0.00")&amp;" floor — paused.","No rule matched — the listing keeps running."))))</f>
        <v>No rule matched — the listing keeps running.</v>
      </c>
      <c r="H26" s="24" t="str">
        <f t="shared" si="1"/>
        <v>RUNNING</v>
      </c>
      <c r="I26" s="25" t="s">
        <v>32</v>
      </c>
      <c r="J26" s="26"/>
      <c r="L26" t="b">
        <f>OR('Input Data'!$M$26="OFF",'Input Data'!$N$26="OFF")</f>
        <v>0</v>
      </c>
      <c r="M26" t="b">
        <f>AND('Pause Rules'!$B$11,'Input Data'!$D$26&lt;'Pause Rules'!$B$4)</f>
        <v>0</v>
      </c>
      <c r="N26" t="b">
        <f>AND('Pause Rules'!$B$12,'Input Data'!$G$26&gt;0,'Input Data'!$E$26&gt;='Pause Rules'!$B$5,NOT('Input Data'!$F$26&lt;'Pause Rules'!$B$6))</f>
        <v>0</v>
      </c>
      <c r="O26" t="b">
        <f>AND('Pause Rules'!$B$13,'Input Data'!$H$26=0,'Input Data'!$I$26&gt;='Pause Rules'!$B$7,NOT('Input Data'!$J$26&lt;'Pause Rules'!$B$8))</f>
        <v>0</v>
      </c>
      <c r="P26" t="b">
        <f t="shared" si="2"/>
        <v>0</v>
      </c>
    </row>
    <row r="27" spans="1:16" ht="45.75" customHeight="1" x14ac:dyDescent="0.25">
      <c r="A27" s="20" t="s">
        <v>79</v>
      </c>
      <c r="B27" s="21" t="s">
        <v>80</v>
      </c>
      <c r="C27" s="22" t="str">
        <f>'Input Data'!$D$27&amp;" units · "&amp;IF('Input Data'!$D$27&lt;=0,"Out of stock",IF('Input Data'!$D$27&lt;'Pause Rules'!$B$4,"Low stock","In stock"))</f>
        <v>512 units · In stock</v>
      </c>
      <c r="D27" s="23" t="str">
        <f>"Campaign "&amp;'Input Data'!$M$27&amp;"  /  Listing "&amp;'Input Data'!$N$27</f>
        <v>Campaign ON  /  Listing ON</v>
      </c>
      <c r="E27" s="24" t="str">
        <f t="shared" si="0"/>
        <v>—</v>
      </c>
      <c r="F27" s="24" t="str">
        <f>IF(NOT($P27),"—",IF(AND($E27="Stock",'Input Data'!$D$27&lt;=0),"High",IF('Input Data'!$K$27&gt;='Pause Rules'!$B$9,"High",IF('Input Data'!$K$27&gt;='Pause Rules'!$B$10,"Medium","Low"))))</f>
        <v>—</v>
      </c>
      <c r="G27" s="20" t="str">
        <f>IF($L27,IF('Input Data'!$M$27="OFF","Campaign","Listing")&amp;" is already OFF — pause rules are not evaluated.",IF($M27,IF('Input Data'!$D$27&lt;=0,"Out of stock (0 units) — ads paused so spend does not run on an unbuyable item.","Low stock ("&amp;'Input Data'!$D$27&amp;" units, below the "&amp;'Pause Rules'!$B$4&amp;"-unit floor) — ads paused to protect the remaining units."),IF($N27,"30D ACOS "&amp;'Input Data'!$E$27&amp;"% is at or above the "&amp;'Pause Rules'!$B$5&amp;"% ceiling; 7D ACOS "&amp;'Input Data'!$F$27&amp;"% is not improving — paused.",IF($O27,'Input Data'!$I$27&amp;" clicks over 14 days with 0 orders; spend "&amp;TEXT('Input Data'!$J$27,"£0.00")&amp;" is at or above the "&amp;TEXT('Pause Rules'!$B$8,"£0.00")&amp;" floor — paused.","No rule matched — the listing keeps running."))))</f>
        <v>No rule matched — the listing keeps running.</v>
      </c>
      <c r="H27" s="24" t="str">
        <f t="shared" si="1"/>
        <v>RUNNING</v>
      </c>
      <c r="I27" s="25" t="s">
        <v>32</v>
      </c>
      <c r="J27" s="26"/>
      <c r="L27" t="b">
        <f>OR('Input Data'!$M$27="OFF",'Input Data'!$N$27="OFF")</f>
        <v>0</v>
      </c>
      <c r="M27" t="b">
        <f>AND('Pause Rules'!$B$11,'Input Data'!$D$27&lt;'Pause Rules'!$B$4)</f>
        <v>0</v>
      </c>
      <c r="N27" t="b">
        <f>AND('Pause Rules'!$B$12,'Input Data'!$G$27&gt;0,'Input Data'!$E$27&gt;='Pause Rules'!$B$5,NOT('Input Data'!$F$27&lt;'Pause Rules'!$B$6))</f>
        <v>0</v>
      </c>
      <c r="O27" t="b">
        <f>AND('Pause Rules'!$B$13,'Input Data'!$H$27=0,'Input Data'!$I$27&gt;='Pause Rules'!$B$7,NOT('Input Data'!$J$27&lt;'Pause Rules'!$B$8))</f>
        <v>0</v>
      </c>
      <c r="P27" t="b">
        <f t="shared" si="2"/>
        <v>0</v>
      </c>
    </row>
    <row r="28" spans="1:16" ht="45.75" customHeight="1" x14ac:dyDescent="0.25">
      <c r="A28" s="20" t="s">
        <v>81</v>
      </c>
      <c r="B28" s="21" t="s">
        <v>82</v>
      </c>
      <c r="C28" s="22" t="str">
        <f>'Input Data'!$D$28&amp;" units · "&amp;IF('Input Data'!$D$28&lt;=0,"Out of stock",IF('Input Data'!$D$28&lt;'Pause Rules'!$B$4,"Low stock","In stock"))</f>
        <v>190 units · In stock</v>
      </c>
      <c r="D28" s="23" t="str">
        <f>"Campaign "&amp;'Input Data'!$M$28&amp;"  /  Listing "&amp;'Input Data'!$N$28</f>
        <v>Campaign ON  /  Listing ON</v>
      </c>
      <c r="E28" s="24" t="str">
        <f t="shared" si="0"/>
        <v>—</v>
      </c>
      <c r="F28" s="24" t="str">
        <f>IF(NOT($P28),"—",IF(AND($E28="Stock",'Input Data'!$D$28&lt;=0),"High",IF('Input Data'!$K$28&gt;='Pause Rules'!$B$9,"High",IF('Input Data'!$K$28&gt;='Pause Rules'!$B$10,"Medium","Low"))))</f>
        <v>—</v>
      </c>
      <c r="G28" s="20" t="str">
        <f>IF($L28,IF('Input Data'!$M$28="OFF","Campaign","Listing")&amp;" is already OFF — pause rules are not evaluated.",IF($M28,IF('Input Data'!$D$28&lt;=0,"Out of stock (0 units) — ads paused so spend does not run on an unbuyable item.","Low stock ("&amp;'Input Data'!$D$28&amp;" units, below the "&amp;'Pause Rules'!$B$4&amp;"-unit floor) — ads paused to protect the remaining units."),IF($N28,"30D ACOS "&amp;'Input Data'!$E$28&amp;"% is at or above the "&amp;'Pause Rules'!$B$5&amp;"% ceiling; 7D ACOS "&amp;'Input Data'!$F$28&amp;"% is not improving — paused.",IF($O28,'Input Data'!$I$28&amp;" clicks over 14 days with 0 orders; spend "&amp;TEXT('Input Data'!$J$28,"£0.00")&amp;" is at or above the "&amp;TEXT('Pause Rules'!$B$8,"£0.00")&amp;" floor — paused.","No rule matched — the listing keeps running."))))</f>
        <v>No rule matched — the listing keeps running.</v>
      </c>
      <c r="H28" s="24" t="str">
        <f t="shared" si="1"/>
        <v>RUNNING</v>
      </c>
      <c r="I28" s="25" t="s">
        <v>32</v>
      </c>
      <c r="J28" s="26"/>
      <c r="L28" t="b">
        <f>OR('Input Data'!$M$28="OFF",'Input Data'!$N$28="OFF")</f>
        <v>0</v>
      </c>
      <c r="M28" t="b">
        <f>AND('Pause Rules'!$B$11,'Input Data'!$D$28&lt;'Pause Rules'!$B$4)</f>
        <v>0</v>
      </c>
      <c r="N28" t="b">
        <f>AND('Pause Rules'!$B$12,'Input Data'!$G$28&gt;0,'Input Data'!$E$28&gt;='Pause Rules'!$B$5,NOT('Input Data'!$F$28&lt;'Pause Rules'!$B$6))</f>
        <v>0</v>
      </c>
      <c r="O28" t="b">
        <f>AND('Pause Rules'!$B$13,'Input Data'!$H$28=0,'Input Data'!$I$28&gt;='Pause Rules'!$B$7,NOT('Input Data'!$J$28&lt;'Pause Rules'!$B$8))</f>
        <v>0</v>
      </c>
      <c r="P28" t="b">
        <f t="shared" si="2"/>
        <v>0</v>
      </c>
    </row>
    <row r="29" spans="1:16" ht="45.75" customHeight="1" x14ac:dyDescent="0.25">
      <c r="A29" s="20" t="s">
        <v>83</v>
      </c>
      <c r="B29" s="21" t="s">
        <v>84</v>
      </c>
      <c r="C29" s="22" t="str">
        <f>'Input Data'!$D$29&amp;" units · "&amp;IF('Input Data'!$D$29&lt;=0,"Out of stock",IF('Input Data'!$D$29&lt;'Pause Rules'!$B$4,"Low stock","In stock"))</f>
        <v>128 units · In stock</v>
      </c>
      <c r="D29" s="23" t="str">
        <f>"Campaign "&amp;'Input Data'!$M$29&amp;"  /  Listing "&amp;'Input Data'!$N$29</f>
        <v>Campaign ON  /  Listing ON</v>
      </c>
      <c r="E29" s="24" t="str">
        <f t="shared" si="0"/>
        <v>—</v>
      </c>
      <c r="F29" s="24" t="str">
        <f>IF(NOT($P29),"—",IF(AND($E29="Stock",'Input Data'!$D$29&lt;=0),"High",IF('Input Data'!$K$29&gt;='Pause Rules'!$B$9,"High",IF('Input Data'!$K$29&gt;='Pause Rules'!$B$10,"Medium","Low"))))</f>
        <v>—</v>
      </c>
      <c r="G29" s="20" t="str">
        <f>IF($L29,IF('Input Data'!$M$29="OFF","Campaign","Listing")&amp;" is already OFF — pause rules are not evaluated.",IF($M29,IF('Input Data'!$D$29&lt;=0,"Out of stock (0 units) — ads paused so spend does not run on an unbuyable item.","Low stock ("&amp;'Input Data'!$D$29&amp;" units, below the "&amp;'Pause Rules'!$B$4&amp;"-unit floor) — ads paused to protect the remaining units."),IF($N29,"30D ACOS "&amp;'Input Data'!$E$29&amp;"% is at or above the "&amp;'Pause Rules'!$B$5&amp;"% ceiling; 7D ACOS "&amp;'Input Data'!$F$29&amp;"% is not improving — paused.",IF($O29,'Input Data'!$I$29&amp;" clicks over 14 days with 0 orders; spend "&amp;TEXT('Input Data'!$J$29,"£0.00")&amp;" is at or above the "&amp;TEXT('Pause Rules'!$B$8,"£0.00")&amp;" floor — paused.","No rule matched — the listing keeps running."))))</f>
        <v>No rule matched — the listing keeps running.</v>
      </c>
      <c r="H29" s="24" t="str">
        <f t="shared" si="1"/>
        <v>RUNNING</v>
      </c>
      <c r="I29" s="25" t="s">
        <v>32</v>
      </c>
      <c r="J29" s="26"/>
      <c r="L29" t="b">
        <f>OR('Input Data'!$M$29="OFF",'Input Data'!$N$29="OFF")</f>
        <v>0</v>
      </c>
      <c r="M29" t="b">
        <f>AND('Pause Rules'!$B$11,'Input Data'!$D$29&lt;'Pause Rules'!$B$4)</f>
        <v>0</v>
      </c>
      <c r="N29" t="b">
        <f>AND('Pause Rules'!$B$12,'Input Data'!$G$29&gt;0,'Input Data'!$E$29&gt;='Pause Rules'!$B$5,NOT('Input Data'!$F$29&lt;'Pause Rules'!$B$6))</f>
        <v>0</v>
      </c>
      <c r="O29" t="b">
        <f>AND('Pause Rules'!$B$13,'Input Data'!$H$29=0,'Input Data'!$I$29&gt;='Pause Rules'!$B$7,NOT('Input Data'!$J$29&lt;'Pause Rules'!$B$8))</f>
        <v>0</v>
      </c>
      <c r="P29" t="b">
        <f t="shared" si="2"/>
        <v>0</v>
      </c>
    </row>
    <row r="30" spans="1:16" ht="45.75" customHeight="1" x14ac:dyDescent="0.25">
      <c r="A30" s="20" t="s">
        <v>85</v>
      </c>
      <c r="B30" s="21" t="s">
        <v>86</v>
      </c>
      <c r="C30" s="22" t="str">
        <f>'Input Data'!$D$30&amp;" units · "&amp;IF('Input Data'!$D$30&lt;=0,"Out of stock",IF('Input Data'!$D$30&lt;'Pause Rules'!$B$4,"Low stock","In stock"))</f>
        <v>176 units · In stock</v>
      </c>
      <c r="D30" s="23" t="str">
        <f>"Campaign "&amp;'Input Data'!$M$30&amp;"  /  Listing "&amp;'Input Data'!$N$30</f>
        <v>Campaign ON  /  Listing ON</v>
      </c>
      <c r="E30" s="24" t="str">
        <f t="shared" si="0"/>
        <v>—</v>
      </c>
      <c r="F30" s="24" t="str">
        <f>IF(NOT($P30),"—",IF(AND($E30="Stock",'Input Data'!$D$30&lt;=0),"High",IF('Input Data'!$K$30&gt;='Pause Rules'!$B$9,"High",IF('Input Data'!$K$30&gt;='Pause Rules'!$B$10,"Medium","Low"))))</f>
        <v>—</v>
      </c>
      <c r="G30" s="20" t="str">
        <f>IF($L30,IF('Input Data'!$M$30="OFF","Campaign","Listing")&amp;" is already OFF — pause rules are not evaluated.",IF($M30,IF('Input Data'!$D$30&lt;=0,"Out of stock (0 units) — ads paused so spend does not run on an unbuyable item.","Low stock ("&amp;'Input Data'!$D$30&amp;" units, below the "&amp;'Pause Rules'!$B$4&amp;"-unit floor) — ads paused to protect the remaining units."),IF($N30,"30D ACOS "&amp;'Input Data'!$E$30&amp;"% is at or above the "&amp;'Pause Rules'!$B$5&amp;"% ceiling; 7D ACOS "&amp;'Input Data'!$F$30&amp;"% is not improving — paused.",IF($O30,'Input Data'!$I$30&amp;" clicks over 14 days with 0 orders; spend "&amp;TEXT('Input Data'!$J$30,"£0.00")&amp;" is at or above the "&amp;TEXT('Pause Rules'!$B$8,"£0.00")&amp;" floor — paused.","No rule matched — the listing keeps running."))))</f>
        <v>No rule matched — the listing keeps running.</v>
      </c>
      <c r="H30" s="24" t="str">
        <f t="shared" si="1"/>
        <v>RUNNING</v>
      </c>
      <c r="I30" s="25" t="s">
        <v>32</v>
      </c>
      <c r="J30" s="26"/>
      <c r="L30" t="b">
        <f>OR('Input Data'!$M$30="OFF",'Input Data'!$N$30="OFF")</f>
        <v>0</v>
      </c>
      <c r="M30" t="b">
        <f>AND('Pause Rules'!$B$11,'Input Data'!$D$30&lt;'Pause Rules'!$B$4)</f>
        <v>0</v>
      </c>
      <c r="N30" t="b">
        <f>AND('Pause Rules'!$B$12,'Input Data'!$G$30&gt;0,'Input Data'!$E$30&gt;='Pause Rules'!$B$5,NOT('Input Data'!$F$30&lt;'Pause Rules'!$B$6))</f>
        <v>0</v>
      </c>
      <c r="O30" t="b">
        <f>AND('Pause Rules'!$B$13,'Input Data'!$H$30=0,'Input Data'!$I$30&gt;='Pause Rules'!$B$7,NOT('Input Data'!$J$30&lt;'Pause Rules'!$B$8))</f>
        <v>0</v>
      </c>
      <c r="P30" t="b">
        <f t="shared" si="2"/>
        <v>0</v>
      </c>
    </row>
    <row r="31" spans="1:16" ht="45.75" customHeight="1" x14ac:dyDescent="0.25">
      <c r="A31" s="20" t="s">
        <v>87</v>
      </c>
      <c r="B31" s="21" t="s">
        <v>88</v>
      </c>
      <c r="C31" s="22" t="str">
        <f>'Input Data'!$D$31&amp;" units · "&amp;IF('Input Data'!$D$31&lt;=0,"Out of stock",IF('Input Data'!$D$31&lt;'Pause Rules'!$B$4,"Low stock","In stock"))</f>
        <v>38 units · In stock</v>
      </c>
      <c r="D31" s="23" t="str">
        <f>"Campaign "&amp;'Input Data'!$M$31&amp;"  /  Listing "&amp;'Input Data'!$N$31</f>
        <v>Campaign ON  /  Listing ON</v>
      </c>
      <c r="E31" s="24" t="str">
        <f t="shared" si="0"/>
        <v>—</v>
      </c>
      <c r="F31" s="24" t="str">
        <f>IF(NOT($P31),"—",IF(AND($E31="Stock",'Input Data'!$D$31&lt;=0),"High",IF('Input Data'!$K$31&gt;='Pause Rules'!$B$9,"High",IF('Input Data'!$K$31&gt;='Pause Rules'!$B$10,"Medium","Low"))))</f>
        <v>—</v>
      </c>
      <c r="G31" s="20" t="str">
        <f>IF($L31,IF('Input Data'!$M$31="OFF","Campaign","Listing")&amp;" is already OFF — pause rules are not evaluated.",IF($M31,IF('Input Data'!$D$31&lt;=0,"Out of stock (0 units) — ads paused so spend does not run on an unbuyable item.","Low stock ("&amp;'Input Data'!$D$31&amp;" units, below the "&amp;'Pause Rules'!$B$4&amp;"-unit floor) — ads paused to protect the remaining units."),IF($N31,"30D ACOS "&amp;'Input Data'!$E$31&amp;"% is at or above the "&amp;'Pause Rules'!$B$5&amp;"% ceiling; 7D ACOS "&amp;'Input Data'!$F$31&amp;"% is not improving — paused.",IF($O31,'Input Data'!$I$31&amp;" clicks over 14 days with 0 orders; spend "&amp;TEXT('Input Data'!$J$31,"£0.00")&amp;" is at or above the "&amp;TEXT('Pause Rules'!$B$8,"£0.00")&amp;" floor — paused.","No rule matched — the listing keeps running."))))</f>
        <v>No rule matched — the listing keeps running.</v>
      </c>
      <c r="H31" s="24" t="str">
        <f t="shared" si="1"/>
        <v>RUNNING</v>
      </c>
      <c r="I31" s="25" t="s">
        <v>32</v>
      </c>
      <c r="J31" s="26"/>
      <c r="L31" t="b">
        <f>OR('Input Data'!$M$31="OFF",'Input Data'!$N$31="OFF")</f>
        <v>0</v>
      </c>
      <c r="M31" t="b">
        <f>AND('Pause Rules'!$B$11,'Input Data'!$D$31&lt;'Pause Rules'!$B$4)</f>
        <v>0</v>
      </c>
      <c r="N31" t="b">
        <f>AND('Pause Rules'!$B$12,'Input Data'!$G$31&gt;0,'Input Data'!$E$31&gt;='Pause Rules'!$B$5,NOT('Input Data'!$F$31&lt;'Pause Rules'!$B$6))</f>
        <v>0</v>
      </c>
      <c r="O31" t="b">
        <f>AND('Pause Rules'!$B$13,'Input Data'!$H$31=0,'Input Data'!$I$31&gt;='Pause Rules'!$B$7,NOT('Input Data'!$J$31&lt;'Pause Rules'!$B$8))</f>
        <v>0</v>
      </c>
      <c r="P31" t="b">
        <f t="shared" si="2"/>
        <v>0</v>
      </c>
    </row>
    <row r="32" spans="1:16" ht="45.75" customHeight="1" x14ac:dyDescent="0.25">
      <c r="A32" s="20" t="s">
        <v>89</v>
      </c>
      <c r="B32" s="21" t="s">
        <v>90</v>
      </c>
      <c r="C32" s="22" t="str">
        <f>'Input Data'!$D$32&amp;" units · "&amp;IF('Input Data'!$D$32&lt;=0,"Out of stock",IF('Input Data'!$D$32&lt;'Pause Rules'!$B$4,"Low stock","In stock"))</f>
        <v>118 units · In stock</v>
      </c>
      <c r="D32" s="23" t="str">
        <f>"Campaign "&amp;'Input Data'!$M$32&amp;"  /  Listing "&amp;'Input Data'!$N$32</f>
        <v>Campaign ON  /  Listing ON</v>
      </c>
      <c r="E32" s="24" t="str">
        <f t="shared" si="0"/>
        <v>—</v>
      </c>
      <c r="F32" s="24" t="str">
        <f>IF(NOT($P32),"—",IF(AND($E32="Stock",'Input Data'!$D$32&lt;=0),"High",IF('Input Data'!$K$32&gt;='Pause Rules'!$B$9,"High",IF('Input Data'!$K$32&gt;='Pause Rules'!$B$10,"Medium","Low"))))</f>
        <v>—</v>
      </c>
      <c r="G32" s="20" t="str">
        <f>IF($L32,IF('Input Data'!$M$32="OFF","Campaign","Listing")&amp;" is already OFF — pause rules are not evaluated.",IF($M32,IF('Input Data'!$D$32&lt;=0,"Out of stock (0 units) — ads paused so spend does not run on an unbuyable item.","Low stock ("&amp;'Input Data'!$D$32&amp;" units, below the "&amp;'Pause Rules'!$B$4&amp;"-unit floor) — ads paused to protect the remaining units."),IF($N32,"30D ACOS "&amp;'Input Data'!$E$32&amp;"% is at or above the "&amp;'Pause Rules'!$B$5&amp;"% ceiling; 7D ACOS "&amp;'Input Data'!$F$32&amp;"% is not improving — paused.",IF($O32,'Input Data'!$I$32&amp;" clicks over 14 days with 0 orders; spend "&amp;TEXT('Input Data'!$J$32,"£0.00")&amp;" is at or above the "&amp;TEXT('Pause Rules'!$B$8,"£0.00")&amp;" floor — paused.","No rule matched — the listing keeps running."))))</f>
        <v>No rule matched — the listing keeps running.</v>
      </c>
      <c r="H32" s="24" t="str">
        <f t="shared" si="1"/>
        <v>RUNNING</v>
      </c>
      <c r="I32" s="25" t="s">
        <v>32</v>
      </c>
      <c r="J32" s="26"/>
      <c r="L32" t="b">
        <f>OR('Input Data'!$M$32="OFF",'Input Data'!$N$32="OFF")</f>
        <v>0</v>
      </c>
      <c r="M32" t="b">
        <f>AND('Pause Rules'!$B$11,'Input Data'!$D$32&lt;'Pause Rules'!$B$4)</f>
        <v>0</v>
      </c>
      <c r="N32" t="b">
        <f>AND('Pause Rules'!$B$12,'Input Data'!$G$32&gt;0,'Input Data'!$E$32&gt;='Pause Rules'!$B$5,NOT('Input Data'!$F$32&lt;'Pause Rules'!$B$6))</f>
        <v>0</v>
      </c>
      <c r="O32" t="b">
        <f>AND('Pause Rules'!$B$13,'Input Data'!$H$32=0,'Input Data'!$I$32&gt;='Pause Rules'!$B$7,NOT('Input Data'!$J$32&lt;'Pause Rules'!$B$8))</f>
        <v>0</v>
      </c>
      <c r="P32" t="b">
        <f t="shared" si="2"/>
        <v>0</v>
      </c>
    </row>
    <row r="33" spans="1:16" ht="45.75" customHeight="1" x14ac:dyDescent="0.25">
      <c r="A33" s="20" t="s">
        <v>91</v>
      </c>
      <c r="B33" s="21" t="s">
        <v>92</v>
      </c>
      <c r="C33" s="22" t="str">
        <f>'Input Data'!$D$33&amp;" units · "&amp;IF('Input Data'!$D$33&lt;=0,"Out of stock",IF('Input Data'!$D$33&lt;'Pause Rules'!$B$4,"Low stock","In stock"))</f>
        <v>61 units · In stock</v>
      </c>
      <c r="D33" s="23" t="str">
        <f>"Campaign "&amp;'Input Data'!$M$33&amp;"  /  Listing "&amp;'Input Data'!$N$33</f>
        <v>Campaign ON  /  Listing ON</v>
      </c>
      <c r="E33" s="24" t="str">
        <f t="shared" si="0"/>
        <v>—</v>
      </c>
      <c r="F33" s="24" t="str">
        <f>IF(NOT($P33),"—",IF(AND($E33="Stock",'Input Data'!$D$33&lt;=0),"High",IF('Input Data'!$K$33&gt;='Pause Rules'!$B$9,"High",IF('Input Data'!$K$33&gt;='Pause Rules'!$B$10,"Medium","Low"))))</f>
        <v>—</v>
      </c>
      <c r="G33" s="20" t="str">
        <f>IF($L33,IF('Input Data'!$M$33="OFF","Campaign","Listing")&amp;" is already OFF — pause rules are not evaluated.",IF($M33,IF('Input Data'!$D$33&lt;=0,"Out of stock (0 units) — ads paused so spend does not run on an unbuyable item.","Low stock ("&amp;'Input Data'!$D$33&amp;" units, below the "&amp;'Pause Rules'!$B$4&amp;"-unit floor) — ads paused to protect the remaining units."),IF($N33,"30D ACOS "&amp;'Input Data'!$E$33&amp;"% is at or above the "&amp;'Pause Rules'!$B$5&amp;"% ceiling; 7D ACOS "&amp;'Input Data'!$F$33&amp;"% is not improving — paused.",IF($O33,'Input Data'!$I$33&amp;" clicks over 14 days with 0 orders; spend "&amp;TEXT('Input Data'!$J$33,"£0.00")&amp;" is at or above the "&amp;TEXT('Pause Rules'!$B$8,"£0.00")&amp;" floor — paused.","No rule matched — the listing keeps running."))))</f>
        <v>No rule matched — the listing keeps running.</v>
      </c>
      <c r="H33" s="24" t="str">
        <f t="shared" si="1"/>
        <v>RUNNING</v>
      </c>
      <c r="I33" s="25" t="s">
        <v>32</v>
      </c>
      <c r="J33" s="26"/>
      <c r="L33" t="b">
        <f>OR('Input Data'!$M$33="OFF",'Input Data'!$N$33="OFF")</f>
        <v>0</v>
      </c>
      <c r="M33" t="b">
        <f>AND('Pause Rules'!$B$11,'Input Data'!$D$33&lt;'Pause Rules'!$B$4)</f>
        <v>0</v>
      </c>
      <c r="N33" t="b">
        <f>AND('Pause Rules'!$B$12,'Input Data'!$G$33&gt;0,'Input Data'!$E$33&gt;='Pause Rules'!$B$5,NOT('Input Data'!$F$33&lt;'Pause Rules'!$B$6))</f>
        <v>0</v>
      </c>
      <c r="O33" t="b">
        <f>AND('Pause Rules'!$B$13,'Input Data'!$H$33=0,'Input Data'!$I$33&gt;='Pause Rules'!$B$7,NOT('Input Data'!$J$33&lt;'Pause Rules'!$B$8))</f>
        <v>0</v>
      </c>
      <c r="P33" t="b">
        <f t="shared" si="2"/>
        <v>0</v>
      </c>
    </row>
    <row r="34" spans="1:16" ht="45.75" customHeight="1" x14ac:dyDescent="0.25">
      <c r="A34" s="20" t="s">
        <v>93</v>
      </c>
      <c r="B34" s="21" t="s">
        <v>94</v>
      </c>
      <c r="C34" s="22" t="str">
        <f>'Input Data'!$D$34&amp;" units · "&amp;IF('Input Data'!$D$34&lt;=0,"Out of stock",IF('Input Data'!$D$34&lt;'Pause Rules'!$B$4,"Low stock","In stock"))</f>
        <v>105 units · In stock</v>
      </c>
      <c r="D34" s="23" t="str">
        <f>"Campaign "&amp;'Input Data'!$M$34&amp;"  /  Listing "&amp;'Input Data'!$N$34</f>
        <v>Campaign ON  /  Listing ON</v>
      </c>
      <c r="E34" s="24" t="str">
        <f t="shared" si="0"/>
        <v>—</v>
      </c>
      <c r="F34" s="24" t="str">
        <f>IF(NOT($P34),"—",IF(AND($E34="Stock",'Input Data'!$D$34&lt;=0),"High",IF('Input Data'!$K$34&gt;='Pause Rules'!$B$9,"High",IF('Input Data'!$K$34&gt;='Pause Rules'!$B$10,"Medium","Low"))))</f>
        <v>—</v>
      </c>
      <c r="G34" s="20" t="str">
        <f>IF($L34,IF('Input Data'!$M$34="OFF","Campaign","Listing")&amp;" is already OFF — pause rules are not evaluated.",IF($M34,IF('Input Data'!$D$34&lt;=0,"Out of stock (0 units) — ads paused so spend does not run on an unbuyable item.","Low stock ("&amp;'Input Data'!$D$34&amp;" units, below the "&amp;'Pause Rules'!$B$4&amp;"-unit floor) — ads paused to protect the remaining units."),IF($N34,"30D ACOS "&amp;'Input Data'!$E$34&amp;"% is at or above the "&amp;'Pause Rules'!$B$5&amp;"% ceiling; 7D ACOS "&amp;'Input Data'!$F$34&amp;"% is not improving — paused.",IF($O34,'Input Data'!$I$34&amp;" clicks over 14 days with 0 orders; spend "&amp;TEXT('Input Data'!$J$34,"£0.00")&amp;" is at or above the "&amp;TEXT('Pause Rules'!$B$8,"£0.00")&amp;" floor — paused.","No rule matched — the listing keeps running."))))</f>
        <v>No rule matched — the listing keeps running.</v>
      </c>
      <c r="H34" s="24" t="str">
        <f t="shared" si="1"/>
        <v>RUNNING</v>
      </c>
      <c r="I34" s="25" t="s">
        <v>32</v>
      </c>
      <c r="J34" s="26"/>
      <c r="L34" t="b">
        <f>OR('Input Data'!$M$34="OFF",'Input Data'!$N$34="OFF")</f>
        <v>0</v>
      </c>
      <c r="M34" t="b">
        <f>AND('Pause Rules'!$B$11,'Input Data'!$D$34&lt;'Pause Rules'!$B$4)</f>
        <v>0</v>
      </c>
      <c r="N34" t="b">
        <f>AND('Pause Rules'!$B$12,'Input Data'!$G$34&gt;0,'Input Data'!$E$34&gt;='Pause Rules'!$B$5,NOT('Input Data'!$F$34&lt;'Pause Rules'!$B$6))</f>
        <v>0</v>
      </c>
      <c r="O34" t="b">
        <f>AND('Pause Rules'!$B$13,'Input Data'!$H$34=0,'Input Data'!$I$34&gt;='Pause Rules'!$B$7,NOT('Input Data'!$J$34&lt;'Pause Rules'!$B$8))</f>
        <v>0</v>
      </c>
      <c r="P34" t="b">
        <f t="shared" si="2"/>
        <v>0</v>
      </c>
    </row>
    <row r="35" spans="1:16" ht="45.75" customHeight="1" x14ac:dyDescent="0.25">
      <c r="A35" s="20" t="s">
        <v>95</v>
      </c>
      <c r="B35" s="21" t="s">
        <v>96</v>
      </c>
      <c r="C35" s="22" t="str">
        <f>'Input Data'!$D$35&amp;" units · "&amp;IF('Input Data'!$D$35&lt;=0,"Out of stock",IF('Input Data'!$D$35&lt;'Pause Rules'!$B$4,"Low stock","In stock"))</f>
        <v>210 units · In stock</v>
      </c>
      <c r="D35" s="23" t="str">
        <f>"Campaign "&amp;'Input Data'!$M$35&amp;"  /  Listing "&amp;'Input Data'!$N$35</f>
        <v>Campaign ON  /  Listing ON</v>
      </c>
      <c r="E35" s="24" t="str">
        <f t="shared" si="0"/>
        <v>—</v>
      </c>
      <c r="F35" s="24" t="str">
        <f>IF(NOT($P35),"—",IF(AND($E35="Stock",'Input Data'!$D$35&lt;=0),"High",IF('Input Data'!$K$35&gt;='Pause Rules'!$B$9,"High",IF('Input Data'!$K$35&gt;='Pause Rules'!$B$10,"Medium","Low"))))</f>
        <v>—</v>
      </c>
      <c r="G35" s="20" t="str">
        <f>IF($L35,IF('Input Data'!$M$35="OFF","Campaign","Listing")&amp;" is already OFF — pause rules are not evaluated.",IF($M35,IF('Input Data'!$D$35&lt;=0,"Out of stock (0 units) — ads paused so spend does not run on an unbuyable item.","Low stock ("&amp;'Input Data'!$D$35&amp;" units, below the "&amp;'Pause Rules'!$B$4&amp;"-unit floor) — ads paused to protect the remaining units."),IF($N35,"30D ACOS "&amp;'Input Data'!$E$35&amp;"% is at or above the "&amp;'Pause Rules'!$B$5&amp;"% ceiling; 7D ACOS "&amp;'Input Data'!$F$35&amp;"% is not improving — paused.",IF($O35,'Input Data'!$I$35&amp;" clicks over 14 days with 0 orders; spend "&amp;TEXT('Input Data'!$J$35,"£0.00")&amp;" is at or above the "&amp;TEXT('Pause Rules'!$B$8,"£0.00")&amp;" floor — paused.","No rule matched — the listing keeps running."))))</f>
        <v>No rule matched — the listing keeps running.</v>
      </c>
      <c r="H35" s="24" t="str">
        <f t="shared" si="1"/>
        <v>RUNNING</v>
      </c>
      <c r="I35" s="25" t="s">
        <v>32</v>
      </c>
      <c r="J35" s="26"/>
      <c r="L35" t="b">
        <f>OR('Input Data'!$M$35="OFF",'Input Data'!$N$35="OFF")</f>
        <v>0</v>
      </c>
      <c r="M35" t="b">
        <f>AND('Pause Rules'!$B$11,'Input Data'!$D$35&lt;'Pause Rules'!$B$4)</f>
        <v>0</v>
      </c>
      <c r="N35" t="b">
        <f>AND('Pause Rules'!$B$12,'Input Data'!$G$35&gt;0,'Input Data'!$E$35&gt;='Pause Rules'!$B$5,NOT('Input Data'!$F$35&lt;'Pause Rules'!$B$6))</f>
        <v>0</v>
      </c>
      <c r="O35" t="b">
        <f>AND('Pause Rules'!$B$13,'Input Data'!$H$35=0,'Input Data'!$I$35&gt;='Pause Rules'!$B$7,NOT('Input Data'!$J$35&lt;'Pause Rules'!$B$8))</f>
        <v>0</v>
      </c>
      <c r="P35" t="b">
        <f t="shared" si="2"/>
        <v>0</v>
      </c>
    </row>
    <row r="36" spans="1:16" ht="45.75" customHeight="1" x14ac:dyDescent="0.25">
      <c r="A36" s="20" t="s">
        <v>97</v>
      </c>
      <c r="B36" s="21" t="s">
        <v>98</v>
      </c>
      <c r="C36" s="22" t="str">
        <f>'Input Data'!$D$36&amp;" units · "&amp;IF('Input Data'!$D$36&lt;=0,"Out of stock",IF('Input Data'!$D$36&lt;'Pause Rules'!$B$4,"Low stock","In stock"))</f>
        <v>142 units · In stock</v>
      </c>
      <c r="D36" s="23" t="str">
        <f>"Campaign "&amp;'Input Data'!$M$36&amp;"  /  Listing "&amp;'Input Data'!$N$36</f>
        <v>Campaign ON  /  Listing ON</v>
      </c>
      <c r="E36" s="24" t="str">
        <f t="shared" si="0"/>
        <v>—</v>
      </c>
      <c r="F36" s="24" t="str">
        <f>IF(NOT($P36),"—",IF(AND($E36="Stock",'Input Data'!$D$36&lt;=0),"High",IF('Input Data'!$K$36&gt;='Pause Rules'!$B$9,"High",IF('Input Data'!$K$36&gt;='Pause Rules'!$B$10,"Medium","Low"))))</f>
        <v>—</v>
      </c>
      <c r="G36" s="20" t="str">
        <f>IF($L36,IF('Input Data'!$M$36="OFF","Campaign","Listing")&amp;" is already OFF — pause rules are not evaluated.",IF($M36,IF('Input Data'!$D$36&lt;=0,"Out of stock (0 units) — ads paused so spend does not run on an unbuyable item.","Low stock ("&amp;'Input Data'!$D$36&amp;" units, below the "&amp;'Pause Rules'!$B$4&amp;"-unit floor) — ads paused to protect the remaining units."),IF($N36,"30D ACOS "&amp;'Input Data'!$E$36&amp;"% is at or above the "&amp;'Pause Rules'!$B$5&amp;"% ceiling; 7D ACOS "&amp;'Input Data'!$F$36&amp;"% is not improving — paused.",IF($O36,'Input Data'!$I$36&amp;" clicks over 14 days with 0 orders; spend "&amp;TEXT('Input Data'!$J$36,"£0.00")&amp;" is at or above the "&amp;TEXT('Pause Rules'!$B$8,"£0.00")&amp;" floor — paused.","No rule matched — the listing keeps running."))))</f>
        <v>No rule matched — the listing keeps running.</v>
      </c>
      <c r="H36" s="24" t="str">
        <f t="shared" si="1"/>
        <v>RUNNING</v>
      </c>
      <c r="I36" s="25" t="s">
        <v>32</v>
      </c>
      <c r="J36" s="26"/>
      <c r="L36" t="b">
        <f>OR('Input Data'!$M$36="OFF",'Input Data'!$N$36="OFF")</f>
        <v>0</v>
      </c>
      <c r="M36" t="b">
        <f>AND('Pause Rules'!$B$11,'Input Data'!$D$36&lt;'Pause Rules'!$B$4)</f>
        <v>0</v>
      </c>
      <c r="N36" t="b">
        <f>AND('Pause Rules'!$B$12,'Input Data'!$G$36&gt;0,'Input Data'!$E$36&gt;='Pause Rules'!$B$5,NOT('Input Data'!$F$36&lt;'Pause Rules'!$B$6))</f>
        <v>0</v>
      </c>
      <c r="O36" t="b">
        <f>AND('Pause Rules'!$B$13,'Input Data'!$H$36=0,'Input Data'!$I$36&gt;='Pause Rules'!$B$7,NOT('Input Data'!$J$36&lt;'Pause Rules'!$B$8))</f>
        <v>0</v>
      </c>
      <c r="P36" t="b">
        <f t="shared" si="2"/>
        <v>0</v>
      </c>
    </row>
    <row r="37" spans="1:16" ht="45.75" customHeight="1" x14ac:dyDescent="0.25">
      <c r="A37" s="20" t="s">
        <v>99</v>
      </c>
      <c r="B37" s="21" t="s">
        <v>100</v>
      </c>
      <c r="C37" s="22" t="str">
        <f>'Input Data'!$D$37&amp;" units · "&amp;IF('Input Data'!$D$37&lt;=0,"Out of stock",IF('Input Data'!$D$37&lt;'Pause Rules'!$B$4,"Low stock","In stock"))</f>
        <v>96 units · In stock</v>
      </c>
      <c r="D37" s="23" t="str">
        <f>"Campaign "&amp;'Input Data'!$M$37&amp;"  /  Listing "&amp;'Input Data'!$N$37</f>
        <v>Campaign ON  /  Listing ON</v>
      </c>
      <c r="E37" s="24" t="str">
        <f t="shared" si="0"/>
        <v>—</v>
      </c>
      <c r="F37" s="24" t="str">
        <f>IF(NOT($P37),"—",IF(AND($E37="Stock",'Input Data'!$D$37&lt;=0),"High",IF('Input Data'!$K$37&gt;='Pause Rules'!$B$9,"High",IF('Input Data'!$K$37&gt;='Pause Rules'!$B$10,"Medium","Low"))))</f>
        <v>—</v>
      </c>
      <c r="G37" s="20" t="str">
        <f>IF($L37,IF('Input Data'!$M$37="OFF","Campaign","Listing")&amp;" is already OFF — pause rules are not evaluated.",IF($M37,IF('Input Data'!$D$37&lt;=0,"Out of stock (0 units) — ads paused so spend does not run on an unbuyable item.","Low stock ("&amp;'Input Data'!$D$37&amp;" units, below the "&amp;'Pause Rules'!$B$4&amp;"-unit floor) — ads paused to protect the remaining units."),IF($N37,"30D ACOS "&amp;'Input Data'!$E$37&amp;"% is at or above the "&amp;'Pause Rules'!$B$5&amp;"% ceiling; 7D ACOS "&amp;'Input Data'!$F$37&amp;"% is not improving — paused.",IF($O37,'Input Data'!$I$37&amp;" clicks over 14 days with 0 orders; spend "&amp;TEXT('Input Data'!$J$37,"£0.00")&amp;" is at or above the "&amp;TEXT('Pause Rules'!$B$8,"£0.00")&amp;" floor — paused.","No rule matched — the listing keeps running."))))</f>
        <v>No rule matched — the listing keeps running.</v>
      </c>
      <c r="H37" s="24" t="str">
        <f t="shared" si="1"/>
        <v>RUNNING</v>
      </c>
      <c r="I37" s="25" t="s">
        <v>32</v>
      </c>
      <c r="J37" s="26"/>
      <c r="L37" t="b">
        <f>OR('Input Data'!$M$37="OFF",'Input Data'!$N$37="OFF")</f>
        <v>0</v>
      </c>
      <c r="M37" t="b">
        <f>AND('Pause Rules'!$B$11,'Input Data'!$D$37&lt;'Pause Rules'!$B$4)</f>
        <v>0</v>
      </c>
      <c r="N37" t="b">
        <f>AND('Pause Rules'!$B$12,'Input Data'!$G$37&gt;0,'Input Data'!$E$37&gt;='Pause Rules'!$B$5,NOT('Input Data'!$F$37&lt;'Pause Rules'!$B$6))</f>
        <v>0</v>
      </c>
      <c r="O37" t="b">
        <f>AND('Pause Rules'!$B$13,'Input Data'!$H$37=0,'Input Data'!$I$37&gt;='Pause Rules'!$B$7,NOT('Input Data'!$J$37&lt;'Pause Rules'!$B$8))</f>
        <v>0</v>
      </c>
      <c r="P37" t="b">
        <f t="shared" si="2"/>
        <v>0</v>
      </c>
    </row>
    <row r="38" spans="1:16" ht="45.75" customHeight="1" x14ac:dyDescent="0.25">
      <c r="A38" s="20" t="s">
        <v>101</v>
      </c>
      <c r="B38" s="21" t="s">
        <v>102</v>
      </c>
      <c r="C38" s="22" t="str">
        <f>'Input Data'!$D$38&amp;" units · "&amp;IF('Input Data'!$D$38&lt;=0,"Out of stock",IF('Input Data'!$D$38&lt;'Pause Rules'!$B$4,"Low stock","In stock"))</f>
        <v>92 units · In stock</v>
      </c>
      <c r="D38" s="23" t="str">
        <f>"Campaign "&amp;'Input Data'!$M$38&amp;"  /  Listing "&amp;'Input Data'!$N$38</f>
        <v>Campaign ON  /  Listing ON</v>
      </c>
      <c r="E38" s="24" t="str">
        <f t="shared" si="0"/>
        <v>—</v>
      </c>
      <c r="F38" s="24" t="str">
        <f>IF(NOT($P38),"—",IF(AND($E38="Stock",'Input Data'!$D$38&lt;=0),"High",IF('Input Data'!$K$38&gt;='Pause Rules'!$B$9,"High",IF('Input Data'!$K$38&gt;='Pause Rules'!$B$10,"Medium","Low"))))</f>
        <v>—</v>
      </c>
      <c r="G38" s="20" t="str">
        <f>IF($L38,IF('Input Data'!$M$38="OFF","Campaign","Listing")&amp;" is already OFF — pause rules are not evaluated.",IF($M38,IF('Input Data'!$D$38&lt;=0,"Out of stock (0 units) — ads paused so spend does not run on an unbuyable item.","Low stock ("&amp;'Input Data'!$D$38&amp;" units, below the "&amp;'Pause Rules'!$B$4&amp;"-unit floor) — ads paused to protect the remaining units."),IF($N38,"30D ACOS "&amp;'Input Data'!$E$38&amp;"% is at or above the "&amp;'Pause Rules'!$B$5&amp;"% ceiling; 7D ACOS "&amp;'Input Data'!$F$38&amp;"% is not improving — paused.",IF($O38,'Input Data'!$I$38&amp;" clicks over 14 days with 0 orders; spend "&amp;TEXT('Input Data'!$J$38,"£0.00")&amp;" is at or above the "&amp;TEXT('Pause Rules'!$B$8,"£0.00")&amp;" floor — paused.","No rule matched — the listing keeps running."))))</f>
        <v>No rule matched — the listing keeps running.</v>
      </c>
      <c r="H38" s="24" t="str">
        <f t="shared" si="1"/>
        <v>RUNNING</v>
      </c>
      <c r="I38" s="25" t="s">
        <v>32</v>
      </c>
      <c r="J38" s="26"/>
      <c r="L38" t="b">
        <f>OR('Input Data'!$M$38="OFF",'Input Data'!$N$38="OFF")</f>
        <v>0</v>
      </c>
      <c r="M38" t="b">
        <f>AND('Pause Rules'!$B$11,'Input Data'!$D$38&lt;'Pause Rules'!$B$4)</f>
        <v>0</v>
      </c>
      <c r="N38" t="b">
        <f>AND('Pause Rules'!$B$12,'Input Data'!$G$38&gt;0,'Input Data'!$E$38&gt;='Pause Rules'!$B$5,NOT('Input Data'!$F$38&lt;'Pause Rules'!$B$6))</f>
        <v>0</v>
      </c>
      <c r="O38" t="b">
        <f>AND('Pause Rules'!$B$13,'Input Data'!$H$38=0,'Input Data'!$I$38&gt;='Pause Rules'!$B$7,NOT('Input Data'!$J$38&lt;'Pause Rules'!$B$8))</f>
        <v>0</v>
      </c>
      <c r="P38" t="b">
        <f t="shared" si="2"/>
        <v>0</v>
      </c>
    </row>
    <row r="39" spans="1:16" ht="45.75" customHeight="1" x14ac:dyDescent="0.25">
      <c r="A39" s="20" t="s">
        <v>103</v>
      </c>
      <c r="B39" s="21" t="s">
        <v>104</v>
      </c>
      <c r="C39" s="22" t="str">
        <f>'Input Data'!$D$39&amp;" units · "&amp;IF('Input Data'!$D$39&lt;=0,"Out of stock",IF('Input Data'!$D$39&lt;'Pause Rules'!$B$4,"Low stock","In stock"))</f>
        <v>64 units · In stock</v>
      </c>
      <c r="D39" s="23" t="str">
        <f>"Campaign "&amp;'Input Data'!$M$39&amp;"  /  Listing "&amp;'Input Data'!$N$39</f>
        <v>Campaign ON  /  Listing ON</v>
      </c>
      <c r="E39" s="24" t="str">
        <f t="shared" si="0"/>
        <v>—</v>
      </c>
      <c r="F39" s="24" t="str">
        <f>IF(NOT($P39),"—",IF(AND($E39="Stock",'Input Data'!$D$39&lt;=0),"High",IF('Input Data'!$K$39&gt;='Pause Rules'!$B$9,"High",IF('Input Data'!$K$39&gt;='Pause Rules'!$B$10,"Medium","Low"))))</f>
        <v>—</v>
      </c>
      <c r="G39" s="20" t="str">
        <f>IF($L39,IF('Input Data'!$M$39="OFF","Campaign","Listing")&amp;" is already OFF — pause rules are not evaluated.",IF($M39,IF('Input Data'!$D$39&lt;=0,"Out of stock (0 units) — ads paused so spend does not run on an unbuyable item.","Low stock ("&amp;'Input Data'!$D$39&amp;" units, below the "&amp;'Pause Rules'!$B$4&amp;"-unit floor) — ads paused to protect the remaining units."),IF($N39,"30D ACOS "&amp;'Input Data'!$E$39&amp;"% is at or above the "&amp;'Pause Rules'!$B$5&amp;"% ceiling; 7D ACOS "&amp;'Input Data'!$F$39&amp;"% is not improving — paused.",IF($O39,'Input Data'!$I$39&amp;" clicks over 14 days with 0 orders; spend "&amp;TEXT('Input Data'!$J$39,"£0.00")&amp;" is at or above the "&amp;TEXT('Pause Rules'!$B$8,"£0.00")&amp;" floor — paused.","No rule matched — the listing keeps running."))))</f>
        <v>No rule matched — the listing keeps running.</v>
      </c>
      <c r="H39" s="24" t="str">
        <f t="shared" si="1"/>
        <v>RUNNING</v>
      </c>
      <c r="I39" s="25" t="s">
        <v>32</v>
      </c>
      <c r="J39" s="26"/>
      <c r="L39" t="b">
        <f>OR('Input Data'!$M$39="OFF",'Input Data'!$N$39="OFF")</f>
        <v>0</v>
      </c>
      <c r="M39" t="b">
        <f>AND('Pause Rules'!$B$11,'Input Data'!$D$39&lt;'Pause Rules'!$B$4)</f>
        <v>0</v>
      </c>
      <c r="N39" t="b">
        <f>AND('Pause Rules'!$B$12,'Input Data'!$G$39&gt;0,'Input Data'!$E$39&gt;='Pause Rules'!$B$5,NOT('Input Data'!$F$39&lt;'Pause Rules'!$B$6))</f>
        <v>0</v>
      </c>
      <c r="O39" t="b">
        <f>AND('Pause Rules'!$B$13,'Input Data'!$H$39=0,'Input Data'!$I$39&gt;='Pause Rules'!$B$7,NOT('Input Data'!$J$39&lt;'Pause Rules'!$B$8))</f>
        <v>0</v>
      </c>
      <c r="P39" t="b">
        <f t="shared" si="2"/>
        <v>0</v>
      </c>
    </row>
    <row r="40" spans="1:16" ht="45.75" customHeight="1" x14ac:dyDescent="0.25">
      <c r="A40" s="20" t="s">
        <v>105</v>
      </c>
      <c r="B40" s="21" t="s">
        <v>106</v>
      </c>
      <c r="C40" s="22" t="str">
        <f>'Input Data'!$D$40&amp;" units · "&amp;IF('Input Data'!$D$40&lt;=0,"Out of stock",IF('Input Data'!$D$40&lt;'Pause Rules'!$B$4,"Low stock","In stock"))</f>
        <v>150 units · In stock</v>
      </c>
      <c r="D40" s="23" t="str">
        <f>"Campaign "&amp;'Input Data'!$M$40&amp;"  /  Listing "&amp;'Input Data'!$N$40</f>
        <v>Campaign ON  /  Listing ON</v>
      </c>
      <c r="E40" s="24" t="str">
        <f t="shared" si="0"/>
        <v>—</v>
      </c>
      <c r="F40" s="24" t="str">
        <f>IF(NOT($P40),"—",IF(AND($E40="Stock",'Input Data'!$D$40&lt;=0),"High",IF('Input Data'!$K$40&gt;='Pause Rules'!$B$9,"High",IF('Input Data'!$K$40&gt;='Pause Rules'!$B$10,"Medium","Low"))))</f>
        <v>—</v>
      </c>
      <c r="G40" s="20" t="str">
        <f>IF($L40,IF('Input Data'!$M$40="OFF","Campaign","Listing")&amp;" is already OFF — pause rules are not evaluated.",IF($M40,IF('Input Data'!$D$40&lt;=0,"Out of stock (0 units) — ads paused so spend does not run on an unbuyable item.","Low stock ("&amp;'Input Data'!$D$40&amp;" units, below the "&amp;'Pause Rules'!$B$4&amp;"-unit floor) — ads paused to protect the remaining units."),IF($N40,"30D ACOS "&amp;'Input Data'!$E$40&amp;"% is at or above the "&amp;'Pause Rules'!$B$5&amp;"% ceiling; 7D ACOS "&amp;'Input Data'!$F$40&amp;"% is not improving — paused.",IF($O40,'Input Data'!$I$40&amp;" clicks over 14 days with 0 orders; spend "&amp;TEXT('Input Data'!$J$40,"£0.00")&amp;" is at or above the "&amp;TEXT('Pause Rules'!$B$8,"£0.00")&amp;" floor — paused.","No rule matched — the listing keeps running."))))</f>
        <v>No rule matched — the listing keeps running.</v>
      </c>
      <c r="H40" s="24" t="str">
        <f t="shared" si="1"/>
        <v>RUNNING</v>
      </c>
      <c r="I40" s="25" t="s">
        <v>32</v>
      </c>
      <c r="J40" s="26"/>
      <c r="L40" t="b">
        <f>OR('Input Data'!$M$40="OFF",'Input Data'!$N$40="OFF")</f>
        <v>0</v>
      </c>
      <c r="M40" t="b">
        <f>AND('Pause Rules'!$B$11,'Input Data'!$D$40&lt;'Pause Rules'!$B$4)</f>
        <v>0</v>
      </c>
      <c r="N40" t="b">
        <f>AND('Pause Rules'!$B$12,'Input Data'!$G$40&gt;0,'Input Data'!$E$40&gt;='Pause Rules'!$B$5,NOT('Input Data'!$F$40&lt;'Pause Rules'!$B$6))</f>
        <v>0</v>
      </c>
      <c r="O40" t="b">
        <f>AND('Pause Rules'!$B$13,'Input Data'!$H$40=0,'Input Data'!$I$40&gt;='Pause Rules'!$B$7,NOT('Input Data'!$J$40&lt;'Pause Rules'!$B$8))</f>
        <v>0</v>
      </c>
      <c r="P40" t="b">
        <f t="shared" si="2"/>
        <v>0</v>
      </c>
    </row>
    <row r="41" spans="1:16" ht="45.75" customHeight="1" x14ac:dyDescent="0.25">
      <c r="A41" s="20" t="s">
        <v>107</v>
      </c>
      <c r="B41" s="21" t="s">
        <v>108</v>
      </c>
      <c r="C41" s="22" t="str">
        <f>'Input Data'!$D$41&amp;" units · "&amp;IF('Input Data'!$D$41&lt;=0,"Out of stock",IF('Input Data'!$D$41&lt;'Pause Rules'!$B$4,"Low stock","In stock"))</f>
        <v>34 units · In stock</v>
      </c>
      <c r="D41" s="23" t="str">
        <f>"Campaign "&amp;'Input Data'!$M$41&amp;"  /  Listing "&amp;'Input Data'!$N$41</f>
        <v>Campaign ON  /  Listing ON</v>
      </c>
      <c r="E41" s="24" t="str">
        <f t="shared" si="0"/>
        <v>—</v>
      </c>
      <c r="F41" s="24" t="str">
        <f>IF(NOT($P41),"—",IF(AND($E41="Stock",'Input Data'!$D$41&lt;=0),"High",IF('Input Data'!$K$41&gt;='Pause Rules'!$B$9,"High",IF('Input Data'!$K$41&gt;='Pause Rules'!$B$10,"Medium","Low"))))</f>
        <v>—</v>
      </c>
      <c r="G41" s="20" t="str">
        <f>IF($L41,IF('Input Data'!$M$41="OFF","Campaign","Listing")&amp;" is already OFF — pause rules are not evaluated.",IF($M41,IF('Input Data'!$D$41&lt;=0,"Out of stock (0 units) — ads paused so spend does not run on an unbuyable item.","Low stock ("&amp;'Input Data'!$D$41&amp;" units, below the "&amp;'Pause Rules'!$B$4&amp;"-unit floor) — ads paused to protect the remaining units."),IF($N41,"30D ACOS "&amp;'Input Data'!$E$41&amp;"% is at or above the "&amp;'Pause Rules'!$B$5&amp;"% ceiling; 7D ACOS "&amp;'Input Data'!$F$41&amp;"% is not improving — paused.",IF($O41,'Input Data'!$I$41&amp;" clicks over 14 days with 0 orders; spend "&amp;TEXT('Input Data'!$J$41,"£0.00")&amp;" is at or above the "&amp;TEXT('Pause Rules'!$B$8,"£0.00")&amp;" floor — paused.","No rule matched — the listing keeps running."))))</f>
        <v>No rule matched — the listing keeps running.</v>
      </c>
      <c r="H41" s="24" t="str">
        <f t="shared" si="1"/>
        <v>RUNNING</v>
      </c>
      <c r="I41" s="25" t="s">
        <v>32</v>
      </c>
      <c r="J41" s="26"/>
      <c r="L41" t="b">
        <f>OR('Input Data'!$M$41="OFF",'Input Data'!$N$41="OFF")</f>
        <v>0</v>
      </c>
      <c r="M41" t="b">
        <f>AND('Pause Rules'!$B$11,'Input Data'!$D$41&lt;'Pause Rules'!$B$4)</f>
        <v>0</v>
      </c>
      <c r="N41" t="b">
        <f>AND('Pause Rules'!$B$12,'Input Data'!$G$41&gt;0,'Input Data'!$E$41&gt;='Pause Rules'!$B$5,NOT('Input Data'!$F$41&lt;'Pause Rules'!$B$6))</f>
        <v>0</v>
      </c>
      <c r="O41" t="b">
        <f>AND('Pause Rules'!$B$13,'Input Data'!$H$41=0,'Input Data'!$I$41&gt;='Pause Rules'!$B$7,NOT('Input Data'!$J$41&lt;'Pause Rules'!$B$8))</f>
        <v>0</v>
      </c>
      <c r="P41" t="b">
        <f t="shared" si="2"/>
        <v>0</v>
      </c>
    </row>
    <row r="42" spans="1:16" ht="45.75" customHeight="1" x14ac:dyDescent="0.25">
      <c r="A42" s="20" t="s">
        <v>109</v>
      </c>
      <c r="B42" s="21" t="s">
        <v>110</v>
      </c>
      <c r="C42" s="22" t="str">
        <f>'Input Data'!$D$42&amp;" units · "&amp;IF('Input Data'!$D$42&lt;=0,"Out of stock",IF('Input Data'!$D$42&lt;'Pause Rules'!$B$4,"Low stock","In stock"))</f>
        <v>27 units · In stock</v>
      </c>
      <c r="D42" s="23" t="str">
        <f>"Campaign "&amp;'Input Data'!$M$42&amp;"  /  Listing "&amp;'Input Data'!$N$42</f>
        <v>Campaign ON  /  Listing ON</v>
      </c>
      <c r="E42" s="24" t="str">
        <f t="shared" si="0"/>
        <v>—</v>
      </c>
      <c r="F42" s="24" t="str">
        <f>IF(NOT($P42),"—",IF(AND($E42="Stock",'Input Data'!$D$42&lt;=0),"High",IF('Input Data'!$K$42&gt;='Pause Rules'!$B$9,"High",IF('Input Data'!$K$42&gt;='Pause Rules'!$B$10,"Medium","Low"))))</f>
        <v>—</v>
      </c>
      <c r="G42" s="20" t="str">
        <f>IF($L42,IF('Input Data'!$M$42="OFF","Campaign","Listing")&amp;" is already OFF — pause rules are not evaluated.",IF($M42,IF('Input Data'!$D$42&lt;=0,"Out of stock (0 units) — ads paused so spend does not run on an unbuyable item.","Low stock ("&amp;'Input Data'!$D$42&amp;" units, below the "&amp;'Pause Rules'!$B$4&amp;"-unit floor) — ads paused to protect the remaining units."),IF($N42,"30D ACOS "&amp;'Input Data'!$E$42&amp;"% is at or above the "&amp;'Pause Rules'!$B$5&amp;"% ceiling; 7D ACOS "&amp;'Input Data'!$F$42&amp;"% is not improving — paused.",IF($O42,'Input Data'!$I$42&amp;" clicks over 14 days with 0 orders; spend "&amp;TEXT('Input Data'!$J$42,"£0.00")&amp;" is at or above the "&amp;TEXT('Pause Rules'!$B$8,"£0.00")&amp;" floor — paused.","No rule matched — the listing keeps running."))))</f>
        <v>No rule matched — the listing keeps running.</v>
      </c>
      <c r="H42" s="24" t="str">
        <f t="shared" si="1"/>
        <v>RUNNING</v>
      </c>
      <c r="I42" s="25" t="s">
        <v>32</v>
      </c>
      <c r="J42" s="26"/>
      <c r="L42" t="b">
        <f>OR('Input Data'!$M$42="OFF",'Input Data'!$N$42="OFF")</f>
        <v>0</v>
      </c>
      <c r="M42" t="b">
        <f>AND('Pause Rules'!$B$11,'Input Data'!$D$42&lt;'Pause Rules'!$B$4)</f>
        <v>0</v>
      </c>
      <c r="N42" t="b">
        <f>AND('Pause Rules'!$B$12,'Input Data'!$G$42&gt;0,'Input Data'!$E$42&gt;='Pause Rules'!$B$5,NOT('Input Data'!$F$42&lt;'Pause Rules'!$B$6))</f>
        <v>0</v>
      </c>
      <c r="O42" t="b">
        <f>AND('Pause Rules'!$B$13,'Input Data'!$H$42=0,'Input Data'!$I$42&gt;='Pause Rules'!$B$7,NOT('Input Data'!$J$42&lt;'Pause Rules'!$B$8))</f>
        <v>0</v>
      </c>
      <c r="P42" t="b">
        <f t="shared" si="2"/>
        <v>0</v>
      </c>
    </row>
    <row r="43" spans="1:16" ht="45.75" customHeight="1" x14ac:dyDescent="0.25">
      <c r="A43" s="20" t="s">
        <v>111</v>
      </c>
      <c r="B43" s="21" t="s">
        <v>112</v>
      </c>
      <c r="C43" s="22" t="str">
        <f>'Input Data'!$D$43&amp;" units · "&amp;IF('Input Data'!$D$43&lt;=0,"Out of stock",IF('Input Data'!$D$43&lt;'Pause Rules'!$B$4,"Low stock","In stock"))</f>
        <v>330 units · In stock</v>
      </c>
      <c r="D43" s="23" t="str">
        <f>"Campaign "&amp;'Input Data'!$M$43&amp;"  /  Listing "&amp;'Input Data'!$N$43</f>
        <v>Campaign ON  /  Listing ON</v>
      </c>
      <c r="E43" s="24" t="str">
        <f t="shared" si="0"/>
        <v>—</v>
      </c>
      <c r="F43" s="24" t="str">
        <f>IF(NOT($P43),"—",IF(AND($E43="Stock",'Input Data'!$D$43&lt;=0),"High",IF('Input Data'!$K$43&gt;='Pause Rules'!$B$9,"High",IF('Input Data'!$K$43&gt;='Pause Rules'!$B$10,"Medium","Low"))))</f>
        <v>—</v>
      </c>
      <c r="G43" s="20" t="str">
        <f>IF($L43,IF('Input Data'!$M$43="OFF","Campaign","Listing")&amp;" is already OFF — pause rules are not evaluated.",IF($M43,IF('Input Data'!$D$43&lt;=0,"Out of stock (0 units) — ads paused so spend does not run on an unbuyable item.","Low stock ("&amp;'Input Data'!$D$43&amp;" units, below the "&amp;'Pause Rules'!$B$4&amp;"-unit floor) — ads paused to protect the remaining units."),IF($N43,"30D ACOS "&amp;'Input Data'!$E$43&amp;"% is at or above the "&amp;'Pause Rules'!$B$5&amp;"% ceiling; 7D ACOS "&amp;'Input Data'!$F$43&amp;"% is not improving — paused.",IF($O43,'Input Data'!$I$43&amp;" clicks over 14 days with 0 orders; spend "&amp;TEXT('Input Data'!$J$43,"£0.00")&amp;" is at or above the "&amp;TEXT('Pause Rules'!$B$8,"£0.00")&amp;" floor — paused.","No rule matched — the listing keeps running."))))</f>
        <v>No rule matched — the listing keeps running.</v>
      </c>
      <c r="H43" s="24" t="str">
        <f t="shared" si="1"/>
        <v>RUNNING</v>
      </c>
      <c r="I43" s="25" t="s">
        <v>32</v>
      </c>
      <c r="J43" s="26"/>
      <c r="L43" t="b">
        <f>OR('Input Data'!$M$43="OFF",'Input Data'!$N$43="OFF")</f>
        <v>0</v>
      </c>
      <c r="M43" t="b">
        <f>AND('Pause Rules'!$B$11,'Input Data'!$D$43&lt;'Pause Rules'!$B$4)</f>
        <v>0</v>
      </c>
      <c r="N43" t="b">
        <f>AND('Pause Rules'!$B$12,'Input Data'!$G$43&gt;0,'Input Data'!$E$43&gt;='Pause Rules'!$B$5,NOT('Input Data'!$F$43&lt;'Pause Rules'!$B$6))</f>
        <v>0</v>
      </c>
      <c r="O43" t="b">
        <f>AND('Pause Rules'!$B$13,'Input Data'!$H$43=0,'Input Data'!$I$43&gt;='Pause Rules'!$B$7,NOT('Input Data'!$J$43&lt;'Pause Rules'!$B$8))</f>
        <v>0</v>
      </c>
      <c r="P43" t="b">
        <f t="shared" si="2"/>
        <v>0</v>
      </c>
    </row>
    <row r="44" spans="1:16" ht="45.75" customHeight="1" x14ac:dyDescent="0.25">
      <c r="A44" s="20" t="s">
        <v>113</v>
      </c>
      <c r="B44" s="21" t="s">
        <v>114</v>
      </c>
      <c r="C44" s="22" t="str">
        <f>'Input Data'!$D$44&amp;" units · "&amp;IF('Input Data'!$D$44&lt;=0,"Out of stock",IF('Input Data'!$D$44&lt;'Pause Rules'!$B$4,"Low stock","In stock"))</f>
        <v>23 units · In stock</v>
      </c>
      <c r="D44" s="23" t="str">
        <f>"Campaign "&amp;'Input Data'!$M$44&amp;"  /  Listing "&amp;'Input Data'!$N$44</f>
        <v>Campaign ON  /  Listing ON</v>
      </c>
      <c r="E44" s="24" t="str">
        <f t="shared" si="0"/>
        <v>—</v>
      </c>
      <c r="F44" s="24" t="str">
        <f>IF(NOT($P44),"—",IF(AND($E44="Stock",'Input Data'!$D$44&lt;=0),"High",IF('Input Data'!$K$44&gt;='Pause Rules'!$B$9,"High",IF('Input Data'!$K$44&gt;='Pause Rules'!$B$10,"Medium","Low"))))</f>
        <v>—</v>
      </c>
      <c r="G44" s="20" t="str">
        <f>IF($L44,IF('Input Data'!$M$44="OFF","Campaign","Listing")&amp;" is already OFF — pause rules are not evaluated.",IF($M44,IF('Input Data'!$D$44&lt;=0,"Out of stock (0 units) — ads paused so spend does not run on an unbuyable item.","Low stock ("&amp;'Input Data'!$D$44&amp;" units, below the "&amp;'Pause Rules'!$B$4&amp;"-unit floor) — ads paused to protect the remaining units."),IF($N44,"30D ACOS "&amp;'Input Data'!$E$44&amp;"% is at or above the "&amp;'Pause Rules'!$B$5&amp;"% ceiling; 7D ACOS "&amp;'Input Data'!$F$44&amp;"% is not improving — paused.",IF($O44,'Input Data'!$I$44&amp;" clicks over 14 days with 0 orders; spend "&amp;TEXT('Input Data'!$J$44,"£0.00")&amp;" is at or above the "&amp;TEXT('Pause Rules'!$B$8,"£0.00")&amp;" floor — paused.","No rule matched — the listing keeps running."))))</f>
        <v>No rule matched — the listing keeps running.</v>
      </c>
      <c r="H44" s="24" t="str">
        <f t="shared" si="1"/>
        <v>RUNNING</v>
      </c>
      <c r="I44" s="25" t="s">
        <v>32</v>
      </c>
      <c r="J44" s="26"/>
      <c r="L44" t="b">
        <f>OR('Input Data'!$M$44="OFF",'Input Data'!$N$44="OFF")</f>
        <v>0</v>
      </c>
      <c r="M44" t="b">
        <f>AND('Pause Rules'!$B$11,'Input Data'!$D$44&lt;'Pause Rules'!$B$4)</f>
        <v>0</v>
      </c>
      <c r="N44" t="b">
        <f>AND('Pause Rules'!$B$12,'Input Data'!$G$44&gt;0,'Input Data'!$E$44&gt;='Pause Rules'!$B$5,NOT('Input Data'!$F$44&lt;'Pause Rules'!$B$6))</f>
        <v>0</v>
      </c>
      <c r="O44" t="b">
        <f>AND('Pause Rules'!$B$13,'Input Data'!$H$44=0,'Input Data'!$I$44&gt;='Pause Rules'!$B$7,NOT('Input Data'!$J$44&lt;'Pause Rules'!$B$8))</f>
        <v>0</v>
      </c>
      <c r="P44" t="b">
        <f t="shared" si="2"/>
        <v>0</v>
      </c>
    </row>
  </sheetData>
  <autoFilter ref="A2:J44" xr:uid="{00000000-0009-0000-0000-000001000000}"/>
  <mergeCells count="3">
    <mergeCell ref="A1:C1"/>
    <mergeCell ref="D1:H1"/>
    <mergeCell ref="I1:J1"/>
  </mergeCells>
  <conditionalFormatting sqref="C3:C44">
    <cfRule type="expression" dxfId="11" priority="11">
      <formula>ISNUMBER(SEARCH("Out of stock",$C3))</formula>
    </cfRule>
    <cfRule type="expression" dxfId="10" priority="12">
      <formula>ISNUMBER(SEARCH("Low stock",$C3))</formula>
    </cfRule>
    <cfRule type="expression" dxfId="9" priority="13">
      <formula>ISNUMBER(SEARCH("In stock",$C3))</formula>
    </cfRule>
  </conditionalFormatting>
  <conditionalFormatting sqref="E3:E44">
    <cfRule type="cellIs" dxfId="8" priority="8" operator="equal">
      <formula>"Stock"</formula>
    </cfRule>
    <cfRule type="cellIs" dxfId="7" priority="9" operator="equal">
      <formula>"Rule 1"</formula>
    </cfRule>
    <cfRule type="cellIs" dxfId="6" priority="10" operator="equal">
      <formula>"Rule 2"</formula>
    </cfRule>
  </conditionalFormatting>
  <conditionalFormatting sqref="F3:F44">
    <cfRule type="cellIs" dxfId="5" priority="5" operator="equal">
      <formula>"High"</formula>
    </cfRule>
    <cfRule type="cellIs" dxfId="4" priority="6" operator="equal">
      <formula>"Medium"</formula>
    </cfRule>
    <cfRule type="cellIs" dxfId="3" priority="7" operator="equal">
      <formula>"Low"</formula>
    </cfRule>
  </conditionalFormatting>
  <conditionalFormatting sqref="H3:H44">
    <cfRule type="cellIs" dxfId="2" priority="2" operator="equal">
      <formula>"PAUSED"</formula>
    </cfRule>
    <cfRule type="cellIs" dxfId="1" priority="3" operator="equal">
      <formula>"RUNNING"</formula>
    </cfRule>
    <cfRule type="cellIs" dxfId="0" priority="4" operator="equal">
      <formula>"ALREADY OFF"</formula>
    </cfRule>
  </conditionalFormatting>
  <dataValidations count="1">
    <dataValidation type="list" allowBlank="1" sqref="I3:I44" xr:uid="{00000000-0002-0000-0100-000000000000}">
      <formula1>"Pending,Approved,Rejected,On hold"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4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N1"/>
    </sheetView>
  </sheetViews>
  <sheetFormatPr defaultColWidth="8.7109375" defaultRowHeight="15" x14ac:dyDescent="0.25"/>
  <cols>
    <col min="1" max="1" width="40" customWidth="1"/>
    <col min="2" max="2" width="15" customWidth="1"/>
    <col min="3" max="3" width="9" customWidth="1"/>
    <col min="4" max="4" width="11" customWidth="1"/>
    <col min="5" max="9" width="10" customWidth="1"/>
    <col min="10" max="12" width="11" customWidth="1"/>
    <col min="13" max="13" width="13" customWidth="1"/>
    <col min="14" max="14" width="12" customWidth="1"/>
  </cols>
  <sheetData>
    <row r="1" spans="1:14" ht="24" customHeight="1" x14ac:dyDescent="0.25">
      <c r="A1" s="4" t="s">
        <v>115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24" x14ac:dyDescent="0.25">
      <c r="A2" s="27" t="s">
        <v>20</v>
      </c>
      <c r="B2" s="27" t="s">
        <v>116</v>
      </c>
      <c r="C2" s="27" t="s">
        <v>117</v>
      </c>
      <c r="D2" s="27" t="s">
        <v>118</v>
      </c>
      <c r="E2" s="27" t="s">
        <v>119</v>
      </c>
      <c r="F2" s="27" t="s">
        <v>120</v>
      </c>
      <c r="G2" s="27" t="s">
        <v>121</v>
      </c>
      <c r="H2" s="27" t="s">
        <v>122</v>
      </c>
      <c r="I2" s="27" t="s">
        <v>123</v>
      </c>
      <c r="J2" s="27" t="s">
        <v>124</v>
      </c>
      <c r="K2" s="27" t="s">
        <v>125</v>
      </c>
      <c r="L2" s="27" t="s">
        <v>126</v>
      </c>
      <c r="M2" s="27" t="s">
        <v>127</v>
      </c>
      <c r="N2" s="27" t="s">
        <v>128</v>
      </c>
    </row>
    <row r="3" spans="1:14" x14ac:dyDescent="0.25">
      <c r="A3" s="28" t="s">
        <v>30</v>
      </c>
      <c r="B3" s="22" t="s">
        <v>31</v>
      </c>
      <c r="C3" s="22" t="s">
        <v>129</v>
      </c>
      <c r="D3" s="29">
        <v>82</v>
      </c>
      <c r="E3" s="30">
        <v>46.7</v>
      </c>
      <c r="F3" s="30">
        <v>46.7</v>
      </c>
      <c r="G3" s="29">
        <v>9</v>
      </c>
      <c r="H3" s="29">
        <v>9</v>
      </c>
      <c r="I3" s="29">
        <v>201</v>
      </c>
      <c r="J3" s="31">
        <v>42.77</v>
      </c>
      <c r="K3" s="31">
        <v>42.77</v>
      </c>
      <c r="L3" s="31">
        <v>0</v>
      </c>
      <c r="M3" s="22" t="s">
        <v>130</v>
      </c>
      <c r="N3" s="22" t="s">
        <v>130</v>
      </c>
    </row>
    <row r="4" spans="1:14" x14ac:dyDescent="0.25">
      <c r="A4" s="28" t="s">
        <v>33</v>
      </c>
      <c r="B4" s="22" t="s">
        <v>34</v>
      </c>
      <c r="C4" s="22" t="s">
        <v>131</v>
      </c>
      <c r="D4" s="29">
        <v>73</v>
      </c>
      <c r="E4" s="30">
        <v>40.6</v>
      </c>
      <c r="F4" s="30">
        <v>40.6</v>
      </c>
      <c r="G4" s="29">
        <v>18</v>
      </c>
      <c r="H4" s="29">
        <v>18</v>
      </c>
      <c r="I4" s="29">
        <v>165</v>
      </c>
      <c r="J4" s="31">
        <v>40.56</v>
      </c>
      <c r="K4" s="31">
        <v>40.56</v>
      </c>
      <c r="L4" s="31">
        <v>0</v>
      </c>
      <c r="M4" s="22" t="s">
        <v>130</v>
      </c>
      <c r="N4" s="22" t="s">
        <v>130</v>
      </c>
    </row>
    <row r="5" spans="1:14" x14ac:dyDescent="0.25">
      <c r="A5" s="28" t="s">
        <v>35</v>
      </c>
      <c r="B5" s="22" t="s">
        <v>36</v>
      </c>
      <c r="C5" s="22" t="s">
        <v>131</v>
      </c>
      <c r="D5" s="29">
        <v>156</v>
      </c>
      <c r="E5" s="30">
        <v>49</v>
      </c>
      <c r="F5" s="30">
        <v>49</v>
      </c>
      <c r="G5" s="29">
        <v>8</v>
      </c>
      <c r="H5" s="29">
        <v>8</v>
      </c>
      <c r="I5" s="29">
        <v>249</v>
      </c>
      <c r="J5" s="31">
        <v>40.28</v>
      </c>
      <c r="K5" s="31">
        <v>40.28</v>
      </c>
      <c r="L5" s="31">
        <v>0</v>
      </c>
      <c r="M5" s="22" t="s">
        <v>130</v>
      </c>
      <c r="N5" s="22" t="s">
        <v>130</v>
      </c>
    </row>
    <row r="6" spans="1:14" x14ac:dyDescent="0.25">
      <c r="A6" s="28" t="s">
        <v>37</v>
      </c>
      <c r="B6" s="22" t="s">
        <v>38</v>
      </c>
      <c r="C6" s="22" t="s">
        <v>131</v>
      </c>
      <c r="D6" s="29">
        <v>0</v>
      </c>
      <c r="E6" s="30">
        <v>20.5</v>
      </c>
      <c r="F6" s="30">
        <v>20.5</v>
      </c>
      <c r="G6" s="29">
        <v>8</v>
      </c>
      <c r="H6" s="29">
        <v>8</v>
      </c>
      <c r="I6" s="29">
        <v>197</v>
      </c>
      <c r="J6" s="31">
        <v>31.91</v>
      </c>
      <c r="K6" s="31">
        <v>31.91</v>
      </c>
      <c r="L6" s="31">
        <v>0</v>
      </c>
      <c r="M6" s="22" t="s">
        <v>130</v>
      </c>
      <c r="N6" s="22" t="s">
        <v>130</v>
      </c>
    </row>
    <row r="7" spans="1:14" ht="24" x14ac:dyDescent="0.25">
      <c r="A7" s="28" t="s">
        <v>39</v>
      </c>
      <c r="B7" s="22" t="s">
        <v>40</v>
      </c>
      <c r="C7" s="22" t="s">
        <v>131</v>
      </c>
      <c r="D7" s="29">
        <v>0</v>
      </c>
      <c r="E7" s="30">
        <v>23.3</v>
      </c>
      <c r="F7" s="30">
        <v>23.3</v>
      </c>
      <c r="G7" s="29">
        <v>4</v>
      </c>
      <c r="H7" s="29">
        <v>4</v>
      </c>
      <c r="I7" s="29">
        <v>71</v>
      </c>
      <c r="J7" s="31">
        <v>14.22</v>
      </c>
      <c r="K7" s="31">
        <v>14.22</v>
      </c>
      <c r="L7" s="31">
        <v>0</v>
      </c>
      <c r="M7" s="22" t="s">
        <v>130</v>
      </c>
      <c r="N7" s="22" t="s">
        <v>130</v>
      </c>
    </row>
    <row r="8" spans="1:14" x14ac:dyDescent="0.25">
      <c r="A8" s="28" t="s">
        <v>41</v>
      </c>
      <c r="B8" s="22" t="s">
        <v>42</v>
      </c>
      <c r="C8" s="22" t="s">
        <v>131</v>
      </c>
      <c r="D8" s="29">
        <v>4</v>
      </c>
      <c r="E8" s="30">
        <v>14.5</v>
      </c>
      <c r="F8" s="30">
        <v>14.5</v>
      </c>
      <c r="G8" s="29">
        <v>16</v>
      </c>
      <c r="H8" s="29">
        <v>16</v>
      </c>
      <c r="I8" s="29">
        <v>175</v>
      </c>
      <c r="J8" s="31">
        <v>37.51</v>
      </c>
      <c r="K8" s="31">
        <v>37.51</v>
      </c>
      <c r="L8" s="31">
        <v>0</v>
      </c>
      <c r="M8" s="22" t="s">
        <v>130</v>
      </c>
      <c r="N8" s="22" t="s">
        <v>130</v>
      </c>
    </row>
    <row r="9" spans="1:14" x14ac:dyDescent="0.25">
      <c r="A9" s="28" t="s">
        <v>43</v>
      </c>
      <c r="B9" s="22" t="s">
        <v>44</v>
      </c>
      <c r="C9" s="22" t="s">
        <v>129</v>
      </c>
      <c r="D9" s="29">
        <v>6</v>
      </c>
      <c r="E9" s="30">
        <v>47.7</v>
      </c>
      <c r="F9" s="30">
        <v>47.7</v>
      </c>
      <c r="G9" s="29">
        <v>9</v>
      </c>
      <c r="H9" s="29">
        <v>9</v>
      </c>
      <c r="I9" s="29">
        <v>198</v>
      </c>
      <c r="J9" s="31">
        <v>36.9</v>
      </c>
      <c r="K9" s="31">
        <v>36.9</v>
      </c>
      <c r="L9" s="31">
        <v>0</v>
      </c>
      <c r="M9" s="22" t="s">
        <v>130</v>
      </c>
      <c r="N9" s="22" t="s">
        <v>130</v>
      </c>
    </row>
    <row r="10" spans="1:14" x14ac:dyDescent="0.25">
      <c r="A10" s="28" t="s">
        <v>45</v>
      </c>
      <c r="B10" s="22" t="s">
        <v>46</v>
      </c>
      <c r="C10" s="22" t="s">
        <v>129</v>
      </c>
      <c r="D10" s="29">
        <v>31</v>
      </c>
      <c r="E10" s="30">
        <v>86.1</v>
      </c>
      <c r="F10" s="30">
        <v>86.1</v>
      </c>
      <c r="G10" s="29">
        <v>2</v>
      </c>
      <c r="H10" s="29">
        <v>2</v>
      </c>
      <c r="I10" s="29">
        <v>159</v>
      </c>
      <c r="J10" s="31">
        <v>36.75</v>
      </c>
      <c r="K10" s="31">
        <v>36.75</v>
      </c>
      <c r="L10" s="31">
        <v>0</v>
      </c>
      <c r="M10" s="22" t="s">
        <v>130</v>
      </c>
      <c r="N10" s="22" t="s">
        <v>130</v>
      </c>
    </row>
    <row r="11" spans="1:14" x14ac:dyDescent="0.25">
      <c r="A11" s="28" t="s">
        <v>47</v>
      </c>
      <c r="B11" s="22" t="s">
        <v>48</v>
      </c>
      <c r="C11" s="22" t="s">
        <v>129</v>
      </c>
      <c r="D11" s="29">
        <v>88</v>
      </c>
      <c r="E11" s="30">
        <v>83.5</v>
      </c>
      <c r="F11" s="30">
        <v>83.5</v>
      </c>
      <c r="G11" s="29">
        <v>3</v>
      </c>
      <c r="H11" s="29">
        <v>3</v>
      </c>
      <c r="I11" s="29">
        <v>122</v>
      </c>
      <c r="J11" s="31">
        <v>32.39</v>
      </c>
      <c r="K11" s="31">
        <v>32.39</v>
      </c>
      <c r="L11" s="31">
        <v>0</v>
      </c>
      <c r="M11" s="22" t="s">
        <v>130</v>
      </c>
      <c r="N11" s="22" t="s">
        <v>130</v>
      </c>
    </row>
    <row r="12" spans="1:14" x14ac:dyDescent="0.25">
      <c r="A12" s="28" t="s">
        <v>49</v>
      </c>
      <c r="B12" s="22" t="s">
        <v>50</v>
      </c>
      <c r="C12" s="22" t="s">
        <v>131</v>
      </c>
      <c r="D12" s="29">
        <v>44</v>
      </c>
      <c r="E12" s="30">
        <v>51.4</v>
      </c>
      <c r="F12" s="30">
        <v>51.4</v>
      </c>
      <c r="G12" s="29">
        <v>3</v>
      </c>
      <c r="H12" s="29">
        <v>3</v>
      </c>
      <c r="I12" s="29">
        <v>167</v>
      </c>
      <c r="J12" s="31">
        <v>26.85</v>
      </c>
      <c r="K12" s="31">
        <v>26.85</v>
      </c>
      <c r="L12" s="31">
        <v>0</v>
      </c>
      <c r="M12" s="22" t="s">
        <v>130</v>
      </c>
      <c r="N12" s="22" t="s">
        <v>130</v>
      </c>
    </row>
    <row r="13" spans="1:14" x14ac:dyDescent="0.25">
      <c r="A13" s="28" t="s">
        <v>51</v>
      </c>
      <c r="B13" s="22" t="s">
        <v>52</v>
      </c>
      <c r="C13" s="22" t="s">
        <v>131</v>
      </c>
      <c r="D13" s="29">
        <v>3</v>
      </c>
      <c r="E13" s="30">
        <v>13.9</v>
      </c>
      <c r="F13" s="30">
        <v>13.9</v>
      </c>
      <c r="G13" s="29">
        <v>8</v>
      </c>
      <c r="H13" s="29">
        <v>8</v>
      </c>
      <c r="I13" s="29">
        <v>145</v>
      </c>
      <c r="J13" s="31">
        <v>19.32</v>
      </c>
      <c r="K13" s="31">
        <v>19.32</v>
      </c>
      <c r="L13" s="31">
        <v>0</v>
      </c>
      <c r="M13" s="22" t="s">
        <v>130</v>
      </c>
      <c r="N13" s="22" t="s">
        <v>130</v>
      </c>
    </row>
    <row r="14" spans="1:14" x14ac:dyDescent="0.25">
      <c r="A14" s="28" t="s">
        <v>53</v>
      </c>
      <c r="B14" s="22" t="s">
        <v>54</v>
      </c>
      <c r="C14" s="22" t="s">
        <v>131</v>
      </c>
      <c r="D14" s="29">
        <v>2</v>
      </c>
      <c r="E14" s="30">
        <v>17.7</v>
      </c>
      <c r="F14" s="30">
        <v>17.7</v>
      </c>
      <c r="G14" s="29">
        <v>2</v>
      </c>
      <c r="H14" s="29">
        <v>2</v>
      </c>
      <c r="I14" s="29">
        <v>79</v>
      </c>
      <c r="J14" s="31">
        <v>14.34</v>
      </c>
      <c r="K14" s="31">
        <v>14.34</v>
      </c>
      <c r="L14" s="31">
        <v>0</v>
      </c>
      <c r="M14" s="22" t="s">
        <v>130</v>
      </c>
      <c r="N14" s="22" t="s">
        <v>130</v>
      </c>
    </row>
    <row r="15" spans="1:14" x14ac:dyDescent="0.25">
      <c r="A15" s="28" t="s">
        <v>55</v>
      </c>
      <c r="B15" s="22" t="s">
        <v>56</v>
      </c>
      <c r="C15" s="22" t="s">
        <v>131</v>
      </c>
      <c r="D15" s="29">
        <v>1</v>
      </c>
      <c r="E15" s="30">
        <v>28.7</v>
      </c>
      <c r="F15" s="30">
        <v>28.7</v>
      </c>
      <c r="G15" s="29">
        <v>4</v>
      </c>
      <c r="H15" s="29">
        <v>4</v>
      </c>
      <c r="I15" s="29">
        <v>73</v>
      </c>
      <c r="J15" s="31">
        <v>13.86</v>
      </c>
      <c r="K15" s="31">
        <v>13.86</v>
      </c>
      <c r="L15" s="31">
        <v>0</v>
      </c>
      <c r="M15" s="22" t="s">
        <v>130</v>
      </c>
      <c r="N15" s="22" t="s">
        <v>130</v>
      </c>
    </row>
    <row r="16" spans="1:14" ht="24" x14ac:dyDescent="0.25">
      <c r="A16" s="28" t="s">
        <v>57</v>
      </c>
      <c r="B16" s="22" t="s">
        <v>58</v>
      </c>
      <c r="C16" s="22" t="s">
        <v>131</v>
      </c>
      <c r="D16" s="29">
        <v>2</v>
      </c>
      <c r="E16" s="30">
        <v>32.1</v>
      </c>
      <c r="F16" s="30">
        <v>32.1</v>
      </c>
      <c r="G16" s="29">
        <v>4</v>
      </c>
      <c r="H16" s="29">
        <v>4</v>
      </c>
      <c r="I16" s="29">
        <v>73</v>
      </c>
      <c r="J16" s="31">
        <v>11.16</v>
      </c>
      <c r="K16" s="31">
        <v>11.16</v>
      </c>
      <c r="L16" s="31">
        <v>0</v>
      </c>
      <c r="M16" s="22" t="s">
        <v>130</v>
      </c>
      <c r="N16" s="22" t="s">
        <v>130</v>
      </c>
    </row>
    <row r="17" spans="1:14" x14ac:dyDescent="0.25">
      <c r="A17" s="28" t="s">
        <v>59</v>
      </c>
      <c r="B17" s="22" t="s">
        <v>60</v>
      </c>
      <c r="C17" s="22" t="s">
        <v>131</v>
      </c>
      <c r="D17" s="29">
        <v>47</v>
      </c>
      <c r="E17" s="30">
        <v>999</v>
      </c>
      <c r="F17" s="30">
        <v>999</v>
      </c>
      <c r="G17" s="29">
        <v>0</v>
      </c>
      <c r="H17" s="29">
        <v>0</v>
      </c>
      <c r="I17" s="29">
        <v>57</v>
      </c>
      <c r="J17" s="31">
        <v>10.45</v>
      </c>
      <c r="K17" s="31">
        <v>10.45</v>
      </c>
      <c r="L17" s="31">
        <v>0</v>
      </c>
      <c r="M17" s="22" t="s">
        <v>130</v>
      </c>
      <c r="N17" s="22" t="s">
        <v>130</v>
      </c>
    </row>
    <row r="18" spans="1:14" x14ac:dyDescent="0.25">
      <c r="A18" s="28" t="s">
        <v>61</v>
      </c>
      <c r="B18" s="22" t="s">
        <v>62</v>
      </c>
      <c r="C18" s="22" t="s">
        <v>131</v>
      </c>
      <c r="D18" s="29">
        <v>3</v>
      </c>
      <c r="E18" s="30">
        <v>6.9</v>
      </c>
      <c r="F18" s="30">
        <v>6.9</v>
      </c>
      <c r="G18" s="29">
        <v>23</v>
      </c>
      <c r="H18" s="29">
        <v>23</v>
      </c>
      <c r="I18" s="29">
        <v>39</v>
      </c>
      <c r="J18" s="31">
        <v>7.67</v>
      </c>
      <c r="K18" s="31">
        <v>7.67</v>
      </c>
      <c r="L18" s="31">
        <v>0</v>
      </c>
      <c r="M18" s="22" t="s">
        <v>130</v>
      </c>
      <c r="N18" s="22" t="s">
        <v>130</v>
      </c>
    </row>
    <row r="19" spans="1:14" x14ac:dyDescent="0.25">
      <c r="A19" s="28" t="s">
        <v>63</v>
      </c>
      <c r="B19" s="22" t="s">
        <v>64</v>
      </c>
      <c r="C19" s="22" t="s">
        <v>131</v>
      </c>
      <c r="D19" s="29">
        <v>55</v>
      </c>
      <c r="E19" s="30">
        <v>70.599999999999994</v>
      </c>
      <c r="F19" s="30">
        <v>70.599999999999994</v>
      </c>
      <c r="G19" s="29">
        <v>10</v>
      </c>
      <c r="H19" s="29">
        <v>10</v>
      </c>
      <c r="I19" s="29">
        <v>228</v>
      </c>
      <c r="J19" s="31">
        <v>50.51</v>
      </c>
      <c r="K19" s="31">
        <v>50.51</v>
      </c>
      <c r="L19" s="31">
        <v>0</v>
      </c>
      <c r="M19" s="22" t="s">
        <v>132</v>
      </c>
      <c r="N19" s="22" t="s">
        <v>132</v>
      </c>
    </row>
    <row r="20" spans="1:14" x14ac:dyDescent="0.25">
      <c r="A20" s="28" t="s">
        <v>65</v>
      </c>
      <c r="B20" s="22" t="s">
        <v>66</v>
      </c>
      <c r="C20" s="22" t="s">
        <v>129</v>
      </c>
      <c r="D20" s="29">
        <v>9</v>
      </c>
      <c r="E20" s="30">
        <v>39.6</v>
      </c>
      <c r="F20" s="30">
        <v>39.6</v>
      </c>
      <c r="G20" s="29">
        <v>7</v>
      </c>
      <c r="H20" s="29">
        <v>7</v>
      </c>
      <c r="I20" s="29">
        <v>230</v>
      </c>
      <c r="J20" s="31">
        <v>41.94</v>
      </c>
      <c r="K20" s="31">
        <v>41.94</v>
      </c>
      <c r="L20" s="31">
        <v>0</v>
      </c>
      <c r="M20" s="22" t="s">
        <v>132</v>
      </c>
      <c r="N20" s="22" t="s">
        <v>132</v>
      </c>
    </row>
    <row r="21" spans="1:14" x14ac:dyDescent="0.25">
      <c r="A21" s="28" t="s">
        <v>67</v>
      </c>
      <c r="B21" s="22" t="s">
        <v>68</v>
      </c>
      <c r="C21" s="22" t="s">
        <v>131</v>
      </c>
      <c r="D21" s="29">
        <v>12</v>
      </c>
      <c r="E21" s="30">
        <v>76.8</v>
      </c>
      <c r="F21" s="30">
        <v>76.8</v>
      </c>
      <c r="G21" s="29">
        <v>2</v>
      </c>
      <c r="H21" s="29">
        <v>2</v>
      </c>
      <c r="I21" s="29">
        <v>175</v>
      </c>
      <c r="J21" s="31">
        <v>36.25</v>
      </c>
      <c r="K21" s="31">
        <v>36.25</v>
      </c>
      <c r="L21" s="31">
        <v>0</v>
      </c>
      <c r="M21" s="22" t="s">
        <v>132</v>
      </c>
      <c r="N21" s="22" t="s">
        <v>132</v>
      </c>
    </row>
    <row r="22" spans="1:14" x14ac:dyDescent="0.25">
      <c r="A22" s="28" t="s">
        <v>69</v>
      </c>
      <c r="B22" s="22" t="s">
        <v>70</v>
      </c>
      <c r="C22" s="22" t="s">
        <v>129</v>
      </c>
      <c r="D22" s="29">
        <v>0</v>
      </c>
      <c r="E22" s="30">
        <v>127.5</v>
      </c>
      <c r="F22" s="30">
        <v>127.5</v>
      </c>
      <c r="G22" s="29">
        <v>2</v>
      </c>
      <c r="H22" s="29">
        <v>2</v>
      </c>
      <c r="I22" s="29">
        <v>152</v>
      </c>
      <c r="J22" s="31">
        <v>35.56</v>
      </c>
      <c r="K22" s="31">
        <v>35.56</v>
      </c>
      <c r="L22" s="31">
        <v>0</v>
      </c>
      <c r="M22" s="22" t="s">
        <v>132</v>
      </c>
      <c r="N22" s="22" t="s">
        <v>132</v>
      </c>
    </row>
    <row r="23" spans="1:14" x14ac:dyDescent="0.25">
      <c r="A23" s="28" t="s">
        <v>71</v>
      </c>
      <c r="B23" s="22" t="s">
        <v>72</v>
      </c>
      <c r="C23" s="22" t="s">
        <v>131</v>
      </c>
      <c r="D23" s="29">
        <v>18</v>
      </c>
      <c r="E23" s="30">
        <v>44.5</v>
      </c>
      <c r="F23" s="30">
        <v>44.5</v>
      </c>
      <c r="G23" s="29">
        <v>7</v>
      </c>
      <c r="H23" s="29">
        <v>7</v>
      </c>
      <c r="I23" s="29">
        <v>191</v>
      </c>
      <c r="J23" s="31">
        <v>28.93</v>
      </c>
      <c r="K23" s="31">
        <v>28.93</v>
      </c>
      <c r="L23" s="31">
        <v>0</v>
      </c>
      <c r="M23" s="22" t="s">
        <v>132</v>
      </c>
      <c r="N23" s="22" t="s">
        <v>132</v>
      </c>
    </row>
    <row r="24" spans="1:14" ht="24" x14ac:dyDescent="0.25">
      <c r="A24" s="28" t="s">
        <v>73</v>
      </c>
      <c r="B24" s="22" t="s">
        <v>74</v>
      </c>
      <c r="C24" s="22" t="s">
        <v>131</v>
      </c>
      <c r="D24" s="29">
        <v>71</v>
      </c>
      <c r="E24" s="30">
        <v>35.9</v>
      </c>
      <c r="F24" s="30">
        <v>35.9</v>
      </c>
      <c r="G24" s="29">
        <v>10</v>
      </c>
      <c r="H24" s="29">
        <v>10</v>
      </c>
      <c r="I24" s="29">
        <v>126</v>
      </c>
      <c r="J24" s="31">
        <v>25.24</v>
      </c>
      <c r="K24" s="31">
        <v>25.24</v>
      </c>
      <c r="L24" s="31">
        <v>0</v>
      </c>
      <c r="M24" s="22" t="s">
        <v>132</v>
      </c>
      <c r="N24" s="22" t="s">
        <v>132</v>
      </c>
    </row>
    <row r="25" spans="1:14" ht="24" x14ac:dyDescent="0.25">
      <c r="A25" s="28" t="s">
        <v>75</v>
      </c>
      <c r="B25" s="22" t="s">
        <v>76</v>
      </c>
      <c r="C25" s="22" t="s">
        <v>131</v>
      </c>
      <c r="D25" s="29">
        <v>0</v>
      </c>
      <c r="E25" s="30">
        <v>42.5</v>
      </c>
      <c r="F25" s="30">
        <v>42.5</v>
      </c>
      <c r="G25" s="29">
        <v>3</v>
      </c>
      <c r="H25" s="29">
        <v>3</v>
      </c>
      <c r="I25" s="29">
        <v>51</v>
      </c>
      <c r="J25" s="31">
        <v>8.48</v>
      </c>
      <c r="K25" s="31">
        <v>8.48</v>
      </c>
      <c r="L25" s="31">
        <v>0</v>
      </c>
      <c r="M25" s="22" t="s">
        <v>132</v>
      </c>
      <c r="N25" s="22" t="s">
        <v>132</v>
      </c>
    </row>
    <row r="26" spans="1:14" ht="24" x14ac:dyDescent="0.25">
      <c r="A26" s="28" t="s">
        <v>77</v>
      </c>
      <c r="B26" s="22" t="s">
        <v>78</v>
      </c>
      <c r="C26" s="22" t="s">
        <v>131</v>
      </c>
      <c r="D26" s="29">
        <v>240</v>
      </c>
      <c r="E26" s="30">
        <v>25.2</v>
      </c>
      <c r="F26" s="30">
        <v>25.2</v>
      </c>
      <c r="G26" s="29">
        <v>12</v>
      </c>
      <c r="H26" s="29">
        <v>12</v>
      </c>
      <c r="I26" s="29">
        <v>207</v>
      </c>
      <c r="J26" s="31">
        <v>47</v>
      </c>
      <c r="K26" s="31">
        <v>47</v>
      </c>
      <c r="L26" s="31">
        <v>0</v>
      </c>
      <c r="M26" s="22" t="s">
        <v>130</v>
      </c>
      <c r="N26" s="22" t="s">
        <v>130</v>
      </c>
    </row>
    <row r="27" spans="1:14" x14ac:dyDescent="0.25">
      <c r="A27" s="28" t="s">
        <v>79</v>
      </c>
      <c r="B27" s="22" t="s">
        <v>80</v>
      </c>
      <c r="C27" s="22" t="s">
        <v>131</v>
      </c>
      <c r="D27" s="29">
        <v>512</v>
      </c>
      <c r="E27" s="30">
        <v>22.4</v>
      </c>
      <c r="F27" s="30">
        <v>22.4</v>
      </c>
      <c r="G27" s="29">
        <v>23</v>
      </c>
      <c r="H27" s="29">
        <v>23</v>
      </c>
      <c r="I27" s="29">
        <v>206</v>
      </c>
      <c r="J27" s="31">
        <v>46.7</v>
      </c>
      <c r="K27" s="31">
        <v>46.7</v>
      </c>
      <c r="L27" s="31">
        <v>0</v>
      </c>
      <c r="M27" s="22" t="s">
        <v>130</v>
      </c>
      <c r="N27" s="22" t="s">
        <v>130</v>
      </c>
    </row>
    <row r="28" spans="1:14" x14ac:dyDescent="0.25">
      <c r="A28" s="28" t="s">
        <v>81</v>
      </c>
      <c r="B28" s="22" t="s">
        <v>82</v>
      </c>
      <c r="C28" s="22" t="s">
        <v>131</v>
      </c>
      <c r="D28" s="29">
        <v>190</v>
      </c>
      <c r="E28" s="30">
        <v>23</v>
      </c>
      <c r="F28" s="30">
        <v>23</v>
      </c>
      <c r="G28" s="29">
        <v>14</v>
      </c>
      <c r="H28" s="29">
        <v>14</v>
      </c>
      <c r="I28" s="29">
        <v>211</v>
      </c>
      <c r="J28" s="31">
        <v>46.61</v>
      </c>
      <c r="K28" s="31">
        <v>46.61</v>
      </c>
      <c r="L28" s="31">
        <v>0</v>
      </c>
      <c r="M28" s="22" t="s">
        <v>130</v>
      </c>
      <c r="N28" s="22" t="s">
        <v>130</v>
      </c>
    </row>
    <row r="29" spans="1:14" x14ac:dyDescent="0.25">
      <c r="A29" s="28" t="s">
        <v>83</v>
      </c>
      <c r="B29" s="22" t="s">
        <v>84</v>
      </c>
      <c r="C29" s="22" t="s">
        <v>131</v>
      </c>
      <c r="D29" s="29">
        <v>128</v>
      </c>
      <c r="E29" s="30">
        <v>18.3</v>
      </c>
      <c r="F29" s="30">
        <v>18.3</v>
      </c>
      <c r="G29" s="29">
        <v>15</v>
      </c>
      <c r="H29" s="29">
        <v>15</v>
      </c>
      <c r="I29" s="29">
        <v>202</v>
      </c>
      <c r="J29" s="31">
        <v>45.76</v>
      </c>
      <c r="K29" s="31">
        <v>45.76</v>
      </c>
      <c r="L29" s="31">
        <v>0</v>
      </c>
      <c r="M29" s="22" t="s">
        <v>130</v>
      </c>
      <c r="N29" s="22" t="s">
        <v>130</v>
      </c>
    </row>
    <row r="30" spans="1:14" ht="24" x14ac:dyDescent="0.25">
      <c r="A30" s="28" t="s">
        <v>85</v>
      </c>
      <c r="B30" s="22" t="s">
        <v>86</v>
      </c>
      <c r="C30" s="22" t="s">
        <v>129</v>
      </c>
      <c r="D30" s="29">
        <v>176</v>
      </c>
      <c r="E30" s="30">
        <v>33.4</v>
      </c>
      <c r="F30" s="30">
        <v>33.4</v>
      </c>
      <c r="G30" s="29">
        <v>12</v>
      </c>
      <c r="H30" s="29">
        <v>12</v>
      </c>
      <c r="I30" s="29">
        <v>224</v>
      </c>
      <c r="J30" s="31">
        <v>45.39</v>
      </c>
      <c r="K30" s="31">
        <v>45.39</v>
      </c>
      <c r="L30" s="31">
        <v>0</v>
      </c>
      <c r="M30" s="22" t="s">
        <v>130</v>
      </c>
      <c r="N30" s="22" t="s">
        <v>130</v>
      </c>
    </row>
    <row r="31" spans="1:14" x14ac:dyDescent="0.25">
      <c r="A31" s="28" t="s">
        <v>87</v>
      </c>
      <c r="B31" s="22" t="s">
        <v>88</v>
      </c>
      <c r="C31" s="22" t="s">
        <v>129</v>
      </c>
      <c r="D31" s="29">
        <v>38</v>
      </c>
      <c r="E31" s="30">
        <v>32.6</v>
      </c>
      <c r="F31" s="30">
        <v>32.6</v>
      </c>
      <c r="G31" s="29">
        <v>10</v>
      </c>
      <c r="H31" s="29">
        <v>10</v>
      </c>
      <c r="I31" s="29">
        <v>193</v>
      </c>
      <c r="J31" s="31">
        <v>44.24</v>
      </c>
      <c r="K31" s="31">
        <v>44.24</v>
      </c>
      <c r="L31" s="31">
        <v>0</v>
      </c>
      <c r="M31" s="22" t="s">
        <v>130</v>
      </c>
      <c r="N31" s="22" t="s">
        <v>130</v>
      </c>
    </row>
    <row r="32" spans="1:14" x14ac:dyDescent="0.25">
      <c r="A32" s="28" t="s">
        <v>89</v>
      </c>
      <c r="B32" s="22" t="s">
        <v>90</v>
      </c>
      <c r="C32" s="22" t="s">
        <v>131</v>
      </c>
      <c r="D32" s="29">
        <v>118</v>
      </c>
      <c r="E32" s="30">
        <v>25.4</v>
      </c>
      <c r="F32" s="30">
        <v>25.4</v>
      </c>
      <c r="G32" s="29">
        <v>12</v>
      </c>
      <c r="H32" s="29">
        <v>12</v>
      </c>
      <c r="I32" s="29">
        <v>198</v>
      </c>
      <c r="J32" s="31">
        <v>40.270000000000003</v>
      </c>
      <c r="K32" s="31">
        <v>40.270000000000003</v>
      </c>
      <c r="L32" s="31">
        <v>0</v>
      </c>
      <c r="M32" s="22" t="s">
        <v>130</v>
      </c>
      <c r="N32" s="22" t="s">
        <v>130</v>
      </c>
    </row>
    <row r="33" spans="1:14" x14ac:dyDescent="0.25">
      <c r="A33" s="28" t="s">
        <v>91</v>
      </c>
      <c r="B33" s="22" t="s">
        <v>92</v>
      </c>
      <c r="C33" s="22" t="s">
        <v>131</v>
      </c>
      <c r="D33" s="29">
        <v>61</v>
      </c>
      <c r="E33" s="30">
        <v>20.6</v>
      </c>
      <c r="F33" s="30">
        <v>20.6</v>
      </c>
      <c r="G33" s="29">
        <v>14</v>
      </c>
      <c r="H33" s="29">
        <v>14</v>
      </c>
      <c r="I33" s="29">
        <v>172</v>
      </c>
      <c r="J33" s="31">
        <v>34.92</v>
      </c>
      <c r="K33" s="31">
        <v>34.92</v>
      </c>
      <c r="L33" s="31">
        <v>0</v>
      </c>
      <c r="M33" s="22" t="s">
        <v>130</v>
      </c>
      <c r="N33" s="22" t="s">
        <v>130</v>
      </c>
    </row>
    <row r="34" spans="1:14" x14ac:dyDescent="0.25">
      <c r="A34" s="28" t="s">
        <v>93</v>
      </c>
      <c r="B34" s="22" t="s">
        <v>94</v>
      </c>
      <c r="C34" s="22" t="s">
        <v>129</v>
      </c>
      <c r="D34" s="29">
        <v>105</v>
      </c>
      <c r="E34" s="30">
        <v>28.7</v>
      </c>
      <c r="F34" s="30">
        <v>28.7</v>
      </c>
      <c r="G34" s="29">
        <v>12</v>
      </c>
      <c r="H34" s="29">
        <v>12</v>
      </c>
      <c r="I34" s="29">
        <v>217</v>
      </c>
      <c r="J34" s="31">
        <v>34.119999999999997</v>
      </c>
      <c r="K34" s="31">
        <v>34.119999999999997</v>
      </c>
      <c r="L34" s="31">
        <v>0</v>
      </c>
      <c r="M34" s="22" t="s">
        <v>130</v>
      </c>
      <c r="N34" s="22" t="s">
        <v>130</v>
      </c>
    </row>
    <row r="35" spans="1:14" x14ac:dyDescent="0.25">
      <c r="A35" s="28" t="s">
        <v>95</v>
      </c>
      <c r="B35" s="22" t="s">
        <v>96</v>
      </c>
      <c r="C35" s="22" t="s">
        <v>129</v>
      </c>
      <c r="D35" s="29">
        <v>210</v>
      </c>
      <c r="E35" s="30">
        <v>13.7</v>
      </c>
      <c r="F35" s="30">
        <v>13.7</v>
      </c>
      <c r="G35" s="29">
        <v>5</v>
      </c>
      <c r="H35" s="29">
        <v>5</v>
      </c>
      <c r="I35" s="29">
        <v>199</v>
      </c>
      <c r="J35" s="31">
        <v>33.17</v>
      </c>
      <c r="K35" s="31">
        <v>33.17</v>
      </c>
      <c r="L35" s="31">
        <v>0</v>
      </c>
      <c r="M35" s="22" t="s">
        <v>130</v>
      </c>
      <c r="N35" s="22" t="s">
        <v>130</v>
      </c>
    </row>
    <row r="36" spans="1:14" x14ac:dyDescent="0.25">
      <c r="A36" s="28" t="s">
        <v>97</v>
      </c>
      <c r="B36" s="22" t="s">
        <v>98</v>
      </c>
      <c r="C36" s="22" t="s">
        <v>131</v>
      </c>
      <c r="D36" s="29">
        <v>142</v>
      </c>
      <c r="E36" s="30">
        <v>32.799999999999997</v>
      </c>
      <c r="F36" s="30">
        <v>32.799999999999997</v>
      </c>
      <c r="G36" s="29">
        <v>8</v>
      </c>
      <c r="H36" s="29">
        <v>8</v>
      </c>
      <c r="I36" s="29">
        <v>227</v>
      </c>
      <c r="J36" s="31">
        <v>31.44</v>
      </c>
      <c r="K36" s="31">
        <v>31.44</v>
      </c>
      <c r="L36" s="31">
        <v>0</v>
      </c>
      <c r="M36" s="22" t="s">
        <v>130</v>
      </c>
      <c r="N36" s="22" t="s">
        <v>130</v>
      </c>
    </row>
    <row r="37" spans="1:14" x14ac:dyDescent="0.25">
      <c r="A37" s="28" t="s">
        <v>99</v>
      </c>
      <c r="B37" s="22" t="s">
        <v>100</v>
      </c>
      <c r="C37" s="22" t="s">
        <v>131</v>
      </c>
      <c r="D37" s="29">
        <v>96</v>
      </c>
      <c r="E37" s="30">
        <v>11</v>
      </c>
      <c r="F37" s="30">
        <v>11</v>
      </c>
      <c r="G37" s="29">
        <v>16</v>
      </c>
      <c r="H37" s="29">
        <v>16</v>
      </c>
      <c r="I37" s="29">
        <v>133</v>
      </c>
      <c r="J37" s="31">
        <v>24.96</v>
      </c>
      <c r="K37" s="31">
        <v>24.96</v>
      </c>
      <c r="L37" s="31">
        <v>0</v>
      </c>
      <c r="M37" s="22" t="s">
        <v>130</v>
      </c>
      <c r="N37" s="22" t="s">
        <v>130</v>
      </c>
    </row>
    <row r="38" spans="1:14" x14ac:dyDescent="0.25">
      <c r="A38" s="28" t="s">
        <v>101</v>
      </c>
      <c r="B38" s="22" t="s">
        <v>102</v>
      </c>
      <c r="C38" s="22" t="s">
        <v>131</v>
      </c>
      <c r="D38" s="29">
        <v>92</v>
      </c>
      <c r="E38" s="30">
        <v>14.3</v>
      </c>
      <c r="F38" s="30">
        <v>14.3</v>
      </c>
      <c r="G38" s="29">
        <v>26</v>
      </c>
      <c r="H38" s="29">
        <v>26</v>
      </c>
      <c r="I38" s="29">
        <v>135</v>
      </c>
      <c r="J38" s="31">
        <v>24.29</v>
      </c>
      <c r="K38" s="31">
        <v>24.29</v>
      </c>
      <c r="L38" s="31">
        <v>0</v>
      </c>
      <c r="M38" s="22" t="s">
        <v>130</v>
      </c>
      <c r="N38" s="22" t="s">
        <v>130</v>
      </c>
    </row>
    <row r="39" spans="1:14" x14ac:dyDescent="0.25">
      <c r="A39" s="28" t="s">
        <v>103</v>
      </c>
      <c r="B39" s="22" t="s">
        <v>104</v>
      </c>
      <c r="C39" s="22" t="s">
        <v>129</v>
      </c>
      <c r="D39" s="29">
        <v>64</v>
      </c>
      <c r="E39" s="30">
        <v>16.600000000000001</v>
      </c>
      <c r="F39" s="30">
        <v>16.600000000000001</v>
      </c>
      <c r="G39" s="29">
        <v>15</v>
      </c>
      <c r="H39" s="29">
        <v>15</v>
      </c>
      <c r="I39" s="29">
        <v>92</v>
      </c>
      <c r="J39" s="31">
        <v>19.54</v>
      </c>
      <c r="K39" s="31">
        <v>19.54</v>
      </c>
      <c r="L39" s="31">
        <v>0</v>
      </c>
      <c r="M39" s="22" t="s">
        <v>130</v>
      </c>
      <c r="N39" s="22" t="s">
        <v>130</v>
      </c>
    </row>
    <row r="40" spans="1:14" x14ac:dyDescent="0.25">
      <c r="A40" s="28" t="s">
        <v>105</v>
      </c>
      <c r="B40" s="22" t="s">
        <v>106</v>
      </c>
      <c r="C40" s="22" t="s">
        <v>131</v>
      </c>
      <c r="D40" s="29">
        <v>150</v>
      </c>
      <c r="E40" s="30">
        <v>12.3</v>
      </c>
      <c r="F40" s="30">
        <v>12.3</v>
      </c>
      <c r="G40" s="29">
        <v>10</v>
      </c>
      <c r="H40" s="29">
        <v>10</v>
      </c>
      <c r="I40" s="29">
        <v>95</v>
      </c>
      <c r="J40" s="31">
        <v>18.7</v>
      </c>
      <c r="K40" s="31">
        <v>18.7</v>
      </c>
      <c r="L40" s="31">
        <v>0</v>
      </c>
      <c r="M40" s="22" t="s">
        <v>130</v>
      </c>
      <c r="N40" s="22" t="s">
        <v>130</v>
      </c>
    </row>
    <row r="41" spans="1:14" x14ac:dyDescent="0.25">
      <c r="A41" s="28" t="s">
        <v>107</v>
      </c>
      <c r="B41" s="22" t="s">
        <v>108</v>
      </c>
      <c r="C41" s="22" t="s">
        <v>131</v>
      </c>
      <c r="D41" s="29">
        <v>34</v>
      </c>
      <c r="E41" s="30">
        <v>29.2</v>
      </c>
      <c r="F41" s="30">
        <v>29.2</v>
      </c>
      <c r="G41" s="29">
        <v>3</v>
      </c>
      <c r="H41" s="29">
        <v>3</v>
      </c>
      <c r="I41" s="29">
        <v>83</v>
      </c>
      <c r="J41" s="31">
        <v>18.64</v>
      </c>
      <c r="K41" s="31">
        <v>18.64</v>
      </c>
      <c r="L41" s="31">
        <v>0</v>
      </c>
      <c r="M41" s="22" t="s">
        <v>130</v>
      </c>
      <c r="N41" s="22" t="s">
        <v>130</v>
      </c>
    </row>
    <row r="42" spans="1:14" x14ac:dyDescent="0.25">
      <c r="A42" s="28" t="s">
        <v>109</v>
      </c>
      <c r="B42" s="22" t="s">
        <v>110</v>
      </c>
      <c r="C42" s="22" t="s">
        <v>131</v>
      </c>
      <c r="D42" s="29">
        <v>27</v>
      </c>
      <c r="E42" s="30">
        <v>22.5</v>
      </c>
      <c r="F42" s="30">
        <v>22.5</v>
      </c>
      <c r="G42" s="29">
        <v>4</v>
      </c>
      <c r="H42" s="29">
        <v>4</v>
      </c>
      <c r="I42" s="29">
        <v>108</v>
      </c>
      <c r="J42" s="31">
        <v>17.809999999999999</v>
      </c>
      <c r="K42" s="31">
        <v>17.809999999999999</v>
      </c>
      <c r="L42" s="31">
        <v>0</v>
      </c>
      <c r="M42" s="22" t="s">
        <v>130</v>
      </c>
      <c r="N42" s="22" t="s">
        <v>130</v>
      </c>
    </row>
    <row r="43" spans="1:14" x14ac:dyDescent="0.25">
      <c r="A43" s="28" t="s">
        <v>111</v>
      </c>
      <c r="B43" s="22" t="s">
        <v>112</v>
      </c>
      <c r="C43" s="22" t="s">
        <v>131</v>
      </c>
      <c r="D43" s="29">
        <v>330</v>
      </c>
      <c r="E43" s="30">
        <v>10.9</v>
      </c>
      <c r="F43" s="30">
        <v>10.9</v>
      </c>
      <c r="G43" s="29">
        <v>21</v>
      </c>
      <c r="H43" s="29">
        <v>21</v>
      </c>
      <c r="I43" s="29">
        <v>81</v>
      </c>
      <c r="J43" s="31">
        <v>13.93</v>
      </c>
      <c r="K43" s="31">
        <v>13.93</v>
      </c>
      <c r="L43" s="31">
        <v>0</v>
      </c>
      <c r="M43" s="22" t="s">
        <v>130</v>
      </c>
      <c r="N43" s="22" t="s">
        <v>130</v>
      </c>
    </row>
    <row r="44" spans="1:14" x14ac:dyDescent="0.25">
      <c r="A44" s="28" t="s">
        <v>113</v>
      </c>
      <c r="B44" s="22" t="s">
        <v>114</v>
      </c>
      <c r="C44" s="22" t="s">
        <v>131</v>
      </c>
      <c r="D44" s="29">
        <v>23</v>
      </c>
      <c r="E44" s="30">
        <v>30.2</v>
      </c>
      <c r="F44" s="30">
        <v>30.2</v>
      </c>
      <c r="G44" s="29">
        <v>1</v>
      </c>
      <c r="H44" s="29">
        <v>1</v>
      </c>
      <c r="I44" s="29">
        <v>58</v>
      </c>
      <c r="J44" s="31">
        <v>11.75</v>
      </c>
      <c r="K44" s="31">
        <v>11.75</v>
      </c>
      <c r="L44" s="31">
        <v>0</v>
      </c>
      <c r="M44" s="22" t="s">
        <v>130</v>
      </c>
      <c r="N44" s="22" t="s">
        <v>130</v>
      </c>
    </row>
  </sheetData>
  <autoFilter ref="A2:N44" xr:uid="{00000000-0009-0000-0000-000002000000}"/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zoomScaleNormal="100" workbookViewId="0">
      <selection sqref="A1:C1"/>
    </sheetView>
  </sheetViews>
  <sheetFormatPr defaultColWidth="8.7109375" defaultRowHeight="15" x14ac:dyDescent="0.25"/>
  <cols>
    <col min="1" max="1" width="34" customWidth="1"/>
    <col min="2" max="2" width="12" customWidth="1"/>
    <col min="3" max="3" width="60" customWidth="1"/>
  </cols>
  <sheetData>
    <row r="1" spans="1:3" ht="25.5" customHeight="1" x14ac:dyDescent="0.25">
      <c r="A1" s="3" t="s">
        <v>133</v>
      </c>
      <c r="B1" s="3"/>
      <c r="C1" s="3"/>
    </row>
    <row r="2" spans="1:3" x14ac:dyDescent="0.25">
      <c r="A2" s="2" t="s">
        <v>134</v>
      </c>
      <c r="B2" s="2"/>
      <c r="C2" s="2"/>
    </row>
    <row r="3" spans="1:3" x14ac:dyDescent="0.25">
      <c r="A3" s="9" t="s">
        <v>135</v>
      </c>
      <c r="B3" s="9" t="s">
        <v>4</v>
      </c>
      <c r="C3" s="9" t="s">
        <v>136</v>
      </c>
    </row>
    <row r="4" spans="1:3" x14ac:dyDescent="0.25">
      <c r="A4" s="10" t="s">
        <v>137</v>
      </c>
      <c r="B4" s="33">
        <v>5</v>
      </c>
      <c r="C4" s="34" t="s">
        <v>138</v>
      </c>
    </row>
    <row r="5" spans="1:3" x14ac:dyDescent="0.25">
      <c r="A5" s="10" t="s">
        <v>139</v>
      </c>
      <c r="B5" s="35">
        <v>40</v>
      </c>
      <c r="C5" s="34" t="s">
        <v>140</v>
      </c>
    </row>
    <row r="6" spans="1:3" x14ac:dyDescent="0.25">
      <c r="A6" s="10" t="s">
        <v>141</v>
      </c>
      <c r="B6" s="35">
        <v>20</v>
      </c>
      <c r="C6" s="34" t="s">
        <v>142</v>
      </c>
    </row>
    <row r="7" spans="1:3" x14ac:dyDescent="0.25">
      <c r="A7" s="10" t="s">
        <v>143</v>
      </c>
      <c r="B7" s="33">
        <v>20</v>
      </c>
      <c r="C7" s="34" t="s">
        <v>144</v>
      </c>
    </row>
    <row r="8" spans="1:3" x14ac:dyDescent="0.25">
      <c r="A8" s="10" t="s">
        <v>145</v>
      </c>
      <c r="B8" s="36">
        <v>2.5</v>
      </c>
      <c r="C8" s="34" t="s">
        <v>146</v>
      </c>
    </row>
    <row r="9" spans="1:3" x14ac:dyDescent="0.25">
      <c r="A9" s="10" t="s">
        <v>147</v>
      </c>
      <c r="B9" s="37">
        <v>40</v>
      </c>
      <c r="C9" s="34" t="s">
        <v>148</v>
      </c>
    </row>
    <row r="10" spans="1:3" x14ac:dyDescent="0.25">
      <c r="A10" s="10" t="s">
        <v>149</v>
      </c>
      <c r="B10" s="37">
        <v>15</v>
      </c>
      <c r="C10" s="34" t="s">
        <v>150</v>
      </c>
    </row>
    <row r="11" spans="1:3" x14ac:dyDescent="0.25">
      <c r="A11" s="10" t="s">
        <v>151</v>
      </c>
      <c r="B11" s="38" t="b">
        <f>TRUE()</f>
        <v>1</v>
      </c>
      <c r="C11" s="34" t="s">
        <v>152</v>
      </c>
    </row>
    <row r="12" spans="1:3" x14ac:dyDescent="0.25">
      <c r="A12" s="10" t="s">
        <v>153</v>
      </c>
      <c r="B12" s="38" t="b">
        <f>TRUE()</f>
        <v>1</v>
      </c>
      <c r="C12" s="34" t="s">
        <v>154</v>
      </c>
    </row>
    <row r="13" spans="1:3" x14ac:dyDescent="0.25">
      <c r="A13" s="10" t="s">
        <v>155</v>
      </c>
      <c r="B13" s="38" t="b">
        <f>TRUE()</f>
        <v>1</v>
      </c>
      <c r="C13" s="34" t="s">
        <v>156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zoomScaleNormal="100" workbookViewId="0">
      <selection sqref="A1:E1"/>
    </sheetView>
  </sheetViews>
  <sheetFormatPr defaultColWidth="8.7109375" defaultRowHeight="15" x14ac:dyDescent="0.25"/>
  <cols>
    <col min="1" max="1" width="34" customWidth="1"/>
    <col min="2" max="2" width="10" customWidth="1"/>
    <col min="3" max="3" width="16" customWidth="1"/>
    <col min="4" max="5" width="10" customWidth="1"/>
  </cols>
  <sheetData>
    <row r="1" spans="1:6" ht="24" customHeight="1" x14ac:dyDescent="0.25">
      <c r="A1" s="4" t="s">
        <v>157</v>
      </c>
      <c r="B1" s="4"/>
      <c r="C1" s="4"/>
      <c r="D1" s="4"/>
      <c r="E1" s="4"/>
    </row>
    <row r="2" spans="1:6" ht="42" customHeight="1" x14ac:dyDescent="0.25">
      <c r="A2" s="1" t="s">
        <v>158</v>
      </c>
      <c r="B2" s="1"/>
      <c r="C2" s="1"/>
      <c r="D2" s="1"/>
      <c r="E2" s="1"/>
    </row>
    <row r="3" spans="1:6" x14ac:dyDescent="0.25">
      <c r="A3" s="39" t="s">
        <v>159</v>
      </c>
      <c r="B3" s="39" t="s">
        <v>160</v>
      </c>
      <c r="C3" s="39" t="s">
        <v>3</v>
      </c>
      <c r="D3" s="39" t="s">
        <v>161</v>
      </c>
      <c r="E3" s="39" t="s">
        <v>4</v>
      </c>
    </row>
    <row r="4" spans="1:6" x14ac:dyDescent="0.25">
      <c r="A4" s="40" t="s">
        <v>162</v>
      </c>
      <c r="B4" s="40" t="s">
        <v>163</v>
      </c>
      <c r="C4" s="40" t="s">
        <v>125</v>
      </c>
      <c r="D4" s="40" t="s">
        <v>164</v>
      </c>
      <c r="E4" s="40">
        <v>40</v>
      </c>
      <c r="F4" s="32" t="s">
        <v>165</v>
      </c>
    </row>
    <row r="5" spans="1:6" x14ac:dyDescent="0.25">
      <c r="A5" s="41"/>
      <c r="B5" s="41"/>
      <c r="C5" s="41"/>
      <c r="D5" s="41"/>
      <c r="E5" s="41"/>
    </row>
    <row r="6" spans="1:6" x14ac:dyDescent="0.25">
      <c r="A6" s="41"/>
      <c r="B6" s="41"/>
      <c r="C6" s="41"/>
      <c r="D6" s="41"/>
      <c r="E6" s="41"/>
    </row>
    <row r="7" spans="1:6" x14ac:dyDescent="0.25">
      <c r="A7" s="41"/>
      <c r="B7" s="41"/>
      <c r="C7" s="41"/>
      <c r="D7" s="41"/>
      <c r="E7" s="41"/>
    </row>
    <row r="8" spans="1:6" x14ac:dyDescent="0.25">
      <c r="A8" s="41"/>
      <c r="B8" s="41"/>
      <c r="C8" s="41"/>
      <c r="D8" s="41"/>
      <c r="E8" s="41"/>
    </row>
    <row r="9" spans="1:6" x14ac:dyDescent="0.25">
      <c r="A9" s="41"/>
      <c r="B9" s="41"/>
      <c r="C9" s="41"/>
      <c r="D9" s="41"/>
      <c r="E9" s="41"/>
    </row>
    <row r="10" spans="1:6" x14ac:dyDescent="0.25">
      <c r="A10" s="41"/>
      <c r="B10" s="41"/>
      <c r="C10" s="41"/>
      <c r="D10" s="41"/>
      <c r="E10" s="41"/>
    </row>
    <row r="11" spans="1:6" x14ac:dyDescent="0.25">
      <c r="A11" s="41"/>
      <c r="B11" s="41"/>
      <c r="C11" s="41"/>
      <c r="D11" s="41"/>
      <c r="E11" s="41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Pause Log</vt:lpstr>
      <vt:lpstr>Input Data</vt:lpstr>
      <vt:lpstr>Pause Rules</vt:lpstr>
      <vt:lpstr>Custom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Rosanthan | Digit Web</cp:lastModifiedBy>
  <cp:revision>0</cp:revision>
  <dcterms:created xsi:type="dcterms:W3CDTF">2026-07-17T04:19:32Z</dcterms:created>
  <dcterms:modified xsi:type="dcterms:W3CDTF">2026-07-17T04:28:08Z</dcterms:modified>
  <dc:language>en-US</dc:language>
</cp:coreProperties>
</file>