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amp; Guide" sheetId="1" r:id="rId5"/>
    <sheet state="visible" name="Thresholds" sheetId="2" r:id="rId6"/>
    <sheet state="visible" name="Tracker" sheetId="3" r:id="rId7"/>
  </sheets>
  <definedNames/>
  <calcPr/>
</workbook>
</file>

<file path=xl/sharedStrings.xml><?xml version="1.0" encoding="utf-8"?>
<sst xmlns="http://schemas.openxmlformats.org/spreadsheetml/2006/main" count="569" uniqueCount="565">
  <si>
    <t>Threshold Settings</t>
  </si>
  <si>
    <t>B2B Session Drop Tracker — Germany (Amazon.de)</t>
  </si>
  <si>
    <t>SOURCE DATA</t>
  </si>
  <si>
    <t>Tier</t>
  </si>
  <si>
    <t>ASIN</t>
  </si>
  <si>
    <t>B2B Sessions</t>
  </si>
  <si>
    <t>Prev B2B Sessions</t>
  </si>
  <si>
    <t>Action</t>
  </si>
  <si>
    <t>Prev B2B Page Views</t>
  </si>
  <si>
    <t>Tier 1 - Low</t>
  </si>
  <si>
    <t>Prev B2B Orders</t>
  </si>
  <si>
    <t>Current B2B Sessions</t>
  </si>
  <si>
    <t>Built from Amazon Seller Central Business Reports (Detail Page Sales and Traffic by Child Item) for Amazon.de, exported for two matching 30-day windows: 'Last 30 Days' and 'Previous 30 Days'. Uses B2B-specific columns only — Sessions – Total – B2B, Page Views – Total – B2B, Units ordered – B2B — not the blended B2B+B2C totals. Only ASINs with some B2B Sessions or B2B Page Views in either window are included; ASINs with zero B2B traffic both cycles are excluded, since there's no B2B signal to act on.</t>
  </si>
  <si>
    <t>Current B2B Page Views</t>
  </si>
  <si>
    <t>Current B2B Orders</t>
  </si>
  <si>
    <t>OBJECTIVE</t>
  </si>
  <si>
    <t>Buy Box % (Current)</t>
  </si>
  <si>
    <t>Session Change</t>
  </si>
  <si>
    <t>Catch ASINs whose B2B (business customer) traffic dropped between the two 30-day windows, so a real decline in visibility to business buyers gets caught and investigated — instead of relying on B2B Conversion %, which was unreliable here because per-ASIN B2B session volume is too low for a percentage to mean much.</t>
  </si>
  <si>
    <t>Status</t>
  </si>
  <si>
    <t>HOW EACH COLUMN IS USED</t>
  </si>
  <si>
    <t>B0DLWRP73C</t>
  </si>
  <si>
    <t>Low/no B2B traffic yet - set a Business Price (5-10% below retail) and Quantity Discount tiers (e.g. 5+ units 5% off, 10+ units 10% off) to attract first B2B interest; add bulk/case-pack info to title and bullets</t>
  </si>
  <si>
    <t>B2B Sessions (Prev / Current)</t>
  </si>
  <si>
    <t>Tier 2 - Moderate</t>
  </si>
  <si>
    <t>Unique B2B visitor sessions to the product page, from Sessions – Total – B2B, for each 30-day window.</t>
  </si>
  <si>
    <t>B2B Page Views (Prev / Current)</t>
  </si>
  <si>
    <t>B2B page views, from Page Views – Total – B2B. Extra context alongside Sessions.</t>
  </si>
  <si>
    <t>B2B Unit Orders (Prev / Current)</t>
  </si>
  <si>
    <t>Light check - Buy Box %, confirm Business Price/Quantity Discount still active, quick scan of title and main image</t>
  </si>
  <si>
    <t>Units ordered by B2B customers only, from Units ordered – B2B — shown for context, not used to gate Status.</t>
  </si>
  <si>
    <t>Tier 3 - High</t>
  </si>
  <si>
    <t>Featured Offer (Buy Box) percentage. Worth checking on any Tier 2/3 ASIN, since a weak Buy Box can suppress both B2B sessions and orders.</t>
  </si>
  <si>
    <t>Priority review - Buy Box % and stock, Business Price and Quantity Discount tiers, spec table plus bulk/case-pack info, A+ business use-case content, Business-only offers enabled, VAT invoicing support, backend B2B search terms, certifications visible</t>
  </si>
  <si>
    <t>Current B2B Sessions minus Previous B2B Sessions. Shown for context/trend only — it does not change which Tier or action an ASIN gets.</t>
  </si>
  <si>
    <t>Blue cells (Tier 2 / Tier 3 'B2B Sessions') = editable inputs — the number entered is the lower bound of that tier. Tier 1's range updates automatically. Changing either blue cell updates every ASIN's Tier, Status, and Action on the Tracker tab automatically.</t>
  </si>
  <si>
    <t>Tier / Status / Action</t>
  </si>
  <si>
    <t>Tier is set purely by MAX(Prev,Current) B2B Sessions against the thresholds on the Thresholds tab. Status and Action follow directly from the Tier — every ASIN in a Tier gets that Tier's action. See the 'Thresholds' tab for the full 3-tier action table.</t>
  </si>
  <si>
    <t>THRESHOLDS USED (see 'Thresholds' tab to edit)</t>
  </si>
  <si>
    <t>Two thresholds on the 'Thresholds' tab control the Tracker: the Tier 2 and Tier 3 session boundaries. These decide which Tier every ASIN falls into, and therefore which action text it gets. Change either value and the whole list recalculates automatically.</t>
  </si>
  <si>
    <t>B0CGRNLLPR</t>
  </si>
  <si>
    <t>B0B2F3FLSL</t>
  </si>
  <si>
    <t>B0DYV8RX71</t>
  </si>
  <si>
    <t>B09C5SYCR3</t>
  </si>
  <si>
    <t>B09LMKNDW7</t>
  </si>
  <si>
    <t>B084FXGQZ7</t>
  </si>
  <si>
    <t>B0DQD74HVG</t>
  </si>
  <si>
    <t>B0D8P6VR32</t>
  </si>
  <si>
    <t>B0DLWST7KG</t>
  </si>
  <si>
    <t>B0DM221HWB</t>
  </si>
  <si>
    <t>B0CZXSKPGY</t>
  </si>
  <si>
    <t>B0963VKPXH</t>
  </si>
  <si>
    <t>B0C6YF8DYM</t>
  </si>
  <si>
    <t>B093T4L68X</t>
  </si>
  <si>
    <t>B0C3ZTBRHZ</t>
  </si>
  <si>
    <t>B098XP85Y7</t>
  </si>
  <si>
    <t>B0D9RQQZYB</t>
  </si>
  <si>
    <t>B0DLWSWQSS</t>
  </si>
  <si>
    <t>B0CQ26VJJZ</t>
  </si>
  <si>
    <t>B09LMJZ51X</t>
  </si>
  <si>
    <t>B09LMK5NMG</t>
  </si>
  <si>
    <t>B0DCSD61J8</t>
  </si>
  <si>
    <t>B097DW1XLG</t>
  </si>
  <si>
    <t>B0C3ZT3VR1</t>
  </si>
  <si>
    <t>B0964613ZN</t>
  </si>
  <si>
    <t>B0DYV7VY15</t>
  </si>
  <si>
    <t>B0D3X6BLRC</t>
  </si>
  <si>
    <t>B0GF2BBSZL</t>
  </si>
  <si>
    <t>B0F9WL4L72</t>
  </si>
  <si>
    <t>B0BT84K2BG</t>
  </si>
  <si>
    <t>B09LMHFHCS</t>
  </si>
  <si>
    <t>B0C3RKB4RD</t>
  </si>
  <si>
    <t>B0BZ4J6YW4</t>
  </si>
  <si>
    <t>B0D794WSVC</t>
  </si>
  <si>
    <t>B0D794MW7L</t>
  </si>
  <si>
    <t>B0D792N7B3</t>
  </si>
  <si>
    <t>B0CKBXDYD2</t>
  </si>
  <si>
    <t>B07XRBXKXV</t>
  </si>
  <si>
    <t>B0CZXL6ZYG</t>
  </si>
  <si>
    <t>B0CK7ZTCNL</t>
  </si>
  <si>
    <t>B0CK4MRXFK</t>
  </si>
  <si>
    <t>B0GF2F25M3</t>
  </si>
  <si>
    <t>B094R3M2DC</t>
  </si>
  <si>
    <t>B095SVN17X</t>
  </si>
  <si>
    <t>B0DCSFJSHF</t>
  </si>
  <si>
    <t>B0B2K92XQG</t>
  </si>
  <si>
    <t>B0DLWRFKRQ</t>
  </si>
  <si>
    <t>B0D94GZL98</t>
  </si>
  <si>
    <t>B0D7W38P33</t>
  </si>
  <si>
    <t>B0BX422224</t>
  </si>
  <si>
    <t>B0BX46W4NQ</t>
  </si>
  <si>
    <t>B0B2K9RXV1</t>
  </si>
  <si>
    <t>B0DJFJ2Z4Y</t>
  </si>
  <si>
    <t>B0D9RXR2CM</t>
  </si>
  <si>
    <t>B0DCS6Z7Z9</t>
  </si>
  <si>
    <t>B09GKT6DJC</t>
  </si>
  <si>
    <t>B09B3VTSQG</t>
  </si>
  <si>
    <t>B09NDQRWV7</t>
  </si>
  <si>
    <t>B09V8B973P</t>
  </si>
  <si>
    <t>B0CGRSQKF1</t>
  </si>
  <si>
    <t>B0CD7KYZ1N</t>
  </si>
  <si>
    <t>B0CD2C431D</t>
  </si>
  <si>
    <t>B0DYV5C34S</t>
  </si>
  <si>
    <t>B09MQRMC6P</t>
  </si>
  <si>
    <t>B09LML4ZW9</t>
  </si>
  <si>
    <t>B09LMKTVQN</t>
  </si>
  <si>
    <t>B09LHV32SZ</t>
  </si>
  <si>
    <t>B093H9DJK7</t>
  </si>
  <si>
    <t>B08NXLVKBS</t>
  </si>
  <si>
    <t>B09MQRML1N</t>
  </si>
  <si>
    <t>B0776QS572</t>
  </si>
  <si>
    <t>B084FXG7FM</t>
  </si>
  <si>
    <t>B093H9RYHF</t>
  </si>
  <si>
    <t>B084FXMXQ6</t>
  </si>
  <si>
    <t>B0DZHGX74M</t>
  </si>
  <si>
    <t>B0F9WGTYFF</t>
  </si>
  <si>
    <t>B0F9WGLKMX</t>
  </si>
  <si>
    <t>B0F9WG3RDB</t>
  </si>
  <si>
    <t>B0F9WHLSFZ</t>
  </si>
  <si>
    <t>B0G1BBB166</t>
  </si>
  <si>
    <t>B086985JD2</t>
  </si>
  <si>
    <t>B0F1N8X1ZK</t>
  </si>
  <si>
    <t>B086KTRSCZ</t>
  </si>
  <si>
    <t>B0F2YMRMJB</t>
  </si>
  <si>
    <t>B0F2YNLKVP</t>
  </si>
  <si>
    <t>B0F83Q3B71</t>
  </si>
  <si>
    <t>B0F83NDM9Z</t>
  </si>
  <si>
    <t>B084RNS6JW</t>
  </si>
  <si>
    <t>B084R8LT5Q</t>
  </si>
  <si>
    <t>B083XHSX6F</t>
  </si>
  <si>
    <t>B085M52MX2</t>
  </si>
  <si>
    <t>B0857671Y2</t>
  </si>
  <si>
    <t>B08531815L</t>
  </si>
  <si>
    <t>B08NYNT22N</t>
  </si>
  <si>
    <t>B0DLWT9QYG</t>
  </si>
  <si>
    <t>B0DLWVK93V</t>
  </si>
  <si>
    <t>B0DLWWCQGX</t>
  </si>
  <si>
    <t>B08NXN6X66</t>
  </si>
  <si>
    <t>B084RDCXXV</t>
  </si>
  <si>
    <t>B084RF6HK5</t>
  </si>
  <si>
    <t>B093HB7L5H</t>
  </si>
  <si>
    <t>B08MWK5RTB</t>
  </si>
  <si>
    <t>B08DKFCDPM</t>
  </si>
  <si>
    <t>B0GF8HVN4L</t>
  </si>
  <si>
    <t>B092ZY3T2S</t>
  </si>
  <si>
    <t>B091FQ57MJ</t>
  </si>
  <si>
    <t>B08QJ87851</t>
  </si>
  <si>
    <t>B08PZF353V</t>
  </si>
  <si>
    <t>B08P7HRL5X</t>
  </si>
  <si>
    <t>B09HN3819W</t>
  </si>
  <si>
    <t>B09LR6Y4B2</t>
  </si>
  <si>
    <t>B076361WV8</t>
  </si>
  <si>
    <t>B09LVDW1J7</t>
  </si>
  <si>
    <t>B09M78BQYX</t>
  </si>
  <si>
    <t>B09MQRMWRF</t>
  </si>
  <si>
    <t>B09MWJ1YDZ</t>
  </si>
  <si>
    <t>B09MWJ5PZX</t>
  </si>
  <si>
    <t>B08NTKB1DM</t>
  </si>
  <si>
    <t>B08NXHY397</t>
  </si>
  <si>
    <t>B08NXM1XX9</t>
  </si>
  <si>
    <t>B071GYC1X9</t>
  </si>
  <si>
    <t>B0GXB3JXQV</t>
  </si>
  <si>
    <t>B072N7MN3C</t>
  </si>
  <si>
    <t>B0GXB1RGJB</t>
  </si>
  <si>
    <t>B072SMRKJC</t>
  </si>
  <si>
    <t>B09LHKQBBG</t>
  </si>
  <si>
    <t>B09KPWH7TB</t>
  </si>
  <si>
    <t>B09LVDR4TQ</t>
  </si>
  <si>
    <t>B09GKQWSF5</t>
  </si>
  <si>
    <t>B09V8C6ZHM</t>
  </si>
  <si>
    <t>B0DCC1LZ7G</t>
  </si>
  <si>
    <t>B0D9SD28P5</t>
  </si>
  <si>
    <t>B0D9RXR847</t>
  </si>
  <si>
    <t>B09NDWFY3C</t>
  </si>
  <si>
    <t>B09V8957WS</t>
  </si>
  <si>
    <t>B09V89M92G</t>
  </si>
  <si>
    <t>B09BNZ64NQ</t>
  </si>
  <si>
    <t>B09BNY3G7Y</t>
  </si>
  <si>
    <t>B09BNXYN6H</t>
  </si>
  <si>
    <t>B09BNXDTVL</t>
  </si>
  <si>
    <t>B09LHVG9HR</t>
  </si>
  <si>
    <t>B0965MMHQW</t>
  </si>
  <si>
    <t>B0979FV5QC</t>
  </si>
  <si>
    <t>B097BXCS3D</t>
  </si>
  <si>
    <t>B09WJCQ6WT</t>
  </si>
  <si>
    <t>B0B2K8J9W5</t>
  </si>
  <si>
    <t>B0BVMMHNWL</t>
  </si>
  <si>
    <t>B0BVMKSR6Y</t>
  </si>
  <si>
    <t>B0BVMK3Y6J</t>
  </si>
  <si>
    <t>B0B6SVKTXH</t>
  </si>
  <si>
    <t>B0B6SWPDRX</t>
  </si>
  <si>
    <t>B0B7BNZSZG</t>
  </si>
  <si>
    <t>B0B6SS8RWN</t>
  </si>
  <si>
    <t>B0D8PV3WSH</t>
  </si>
  <si>
    <t>B09MWJVHWY</t>
  </si>
  <si>
    <t>B09MWJH3SX</t>
  </si>
  <si>
    <t>B0DCS4YCFW</t>
  </si>
  <si>
    <t>B0D7VWLG54</t>
  </si>
  <si>
    <t>B0D7W471VM</t>
  </si>
  <si>
    <t>B0D7W4827V</t>
  </si>
  <si>
    <t>B0D7ZTRLBH</t>
  </si>
  <si>
    <t>B0D9RPK3HX</t>
  </si>
  <si>
    <t>B0D9RQ1VYV</t>
  </si>
  <si>
    <t>B0D9RRFVV1</t>
  </si>
  <si>
    <t>B0D9RVLLF7</t>
  </si>
  <si>
    <t>B0BW9RPJ26</t>
  </si>
  <si>
    <t>B0D8PBBHK5</t>
  </si>
  <si>
    <t>B0BX3WFQCZ</t>
  </si>
  <si>
    <t>B0BTDNMSQW</t>
  </si>
  <si>
    <t>B0BB36P56S</t>
  </si>
  <si>
    <t>B0BBB539NS</t>
  </si>
  <si>
    <t>B0BYDZSX6P</t>
  </si>
  <si>
    <t>B0BX43LBC1</t>
  </si>
  <si>
    <t>B0DJBJP86L</t>
  </si>
  <si>
    <t>B098QMRLZN</t>
  </si>
  <si>
    <t>B097DXWV99</t>
  </si>
  <si>
    <t>B0B2K9BY4J</t>
  </si>
  <si>
    <t>B0B2K913QC</t>
  </si>
  <si>
    <t>B0B2K8W6F9</t>
  </si>
  <si>
    <t>B0B8DWXLQ2</t>
  </si>
  <si>
    <t>B0B8DV248K</t>
  </si>
  <si>
    <t>B0B7KCXV72</t>
  </si>
  <si>
    <t>B09VZBVLNY</t>
  </si>
  <si>
    <t>B0BZVHHCQD</t>
  </si>
  <si>
    <t>B0C2VKC5YR</t>
  </si>
  <si>
    <t>B0C2KVH4C9</t>
  </si>
  <si>
    <t>B0C2KW1KL4</t>
  </si>
  <si>
    <t>B0DFYHN6B5</t>
  </si>
  <si>
    <t>B0C1KMYC19</t>
  </si>
  <si>
    <t>B0DDXQPF9S</t>
  </si>
  <si>
    <t>B0DD478QCB</t>
  </si>
  <si>
    <t>B0DCSG5X7R</t>
  </si>
  <si>
    <t>B0DCW238D3</t>
  </si>
  <si>
    <t>B0DCSG3CVL</t>
  </si>
  <si>
    <t>B0DJBJF15G</t>
  </si>
  <si>
    <t>B0DH8DG3NG</t>
  </si>
  <si>
    <t>B0DCSG3QGF</t>
  </si>
  <si>
    <t>B0DH221ZSY</t>
  </si>
  <si>
    <t>B0DH1CR134</t>
  </si>
  <si>
    <t>B0DGQM511D</t>
  </si>
  <si>
    <t>B0DH182H6J</t>
  </si>
  <si>
    <t>B0DGQKDC9V</t>
  </si>
  <si>
    <t>B0DGGFPFGM</t>
  </si>
  <si>
    <t>B0DK1VRQFD</t>
  </si>
  <si>
    <t>B0DJFKLYS4</t>
  </si>
  <si>
    <t>B0DPQGX5DV</t>
  </si>
  <si>
    <t>B093T3Q47R</t>
  </si>
  <si>
    <t>B0DM8ND4WY</t>
  </si>
  <si>
    <t>B0DS4ZCGS3</t>
  </si>
  <si>
    <t>B0DSBX9M7J</t>
  </si>
  <si>
    <t>B093T4C95B</t>
  </si>
  <si>
    <t>B0C6YHB68H</t>
  </si>
  <si>
    <t>B0C6YG3HV7</t>
  </si>
  <si>
    <t>B0963TVVG4</t>
  </si>
  <si>
    <t>B0CCJ2NWRP</t>
  </si>
  <si>
    <t>B081VSL2RC</t>
  </si>
  <si>
    <t>B0CHJK5G7N</t>
  </si>
  <si>
    <t>B0CHRJ7ZNK</t>
  </si>
  <si>
    <t>B0CHJM45KM</t>
  </si>
  <si>
    <t>B0CD2G2NCM</t>
  </si>
  <si>
    <t>B0CKBB6VC1</t>
  </si>
  <si>
    <t>B0963VSN52</t>
  </si>
  <si>
    <t>B0963WH271</t>
  </si>
  <si>
    <t>B0CF5LHK7H</t>
  </si>
  <si>
    <t>B0CF5NMTQX</t>
  </si>
  <si>
    <t>B0CH52LJHH</t>
  </si>
  <si>
    <t>B0CFFM5N5P</t>
  </si>
  <si>
    <t>B0BZVH2SCH</t>
  </si>
  <si>
    <t>B0C3RJ2R51</t>
  </si>
  <si>
    <t>B0C2CZ9WRZ</t>
  </si>
  <si>
    <t>B0C2CZ3K8S</t>
  </si>
  <si>
    <t>B0C1K9SVVD</t>
  </si>
  <si>
    <t>B0D4Z7PCFN</t>
  </si>
  <si>
    <t>B0D794MJPR</t>
  </si>
  <si>
    <t>B0D7MJPHX9</t>
  </si>
  <si>
    <t>B0D7948D7H</t>
  </si>
  <si>
    <t>B0C2KR7JQ6</t>
  </si>
  <si>
    <t>B0CR683Y7C</t>
  </si>
  <si>
    <t>B0C43M1HH6</t>
  </si>
  <si>
    <t>B0CN93TRBG</t>
  </si>
  <si>
    <t>B0CR3JKFHS</t>
  </si>
  <si>
    <t>B0C43LPR9Y</t>
  </si>
  <si>
    <t>B0D793M7LY</t>
  </si>
  <si>
    <t>B0D793CWZ5</t>
  </si>
  <si>
    <t>B0D6YF1T4M</t>
  </si>
  <si>
    <t>B0C4HCHHXR</t>
  </si>
  <si>
    <t>B0C43N2F3D</t>
  </si>
  <si>
    <t>B0C5CSDD2Q</t>
  </si>
  <si>
    <t>B0C43MJXYS</t>
  </si>
  <si>
    <t>B0D21LHTL1</t>
  </si>
  <si>
    <t>B0C5CVP3N6</t>
  </si>
  <si>
    <t>B0C5CTFMY9</t>
  </si>
  <si>
    <t>B0C5CTFH7D</t>
  </si>
  <si>
    <t>B0CW997RZ4</t>
  </si>
  <si>
    <t>B0CTT44H9P</t>
  </si>
  <si>
    <t>B0CZXJW5ZP</t>
  </si>
  <si>
    <t>B0C43LY8DB</t>
  </si>
  <si>
    <t>B0C43LVBKS</t>
  </si>
  <si>
    <t>B0D3X4WHGV</t>
  </si>
  <si>
    <t>B07XLPDSD7</t>
  </si>
  <si>
    <t>B07CK5LPSG</t>
  </si>
  <si>
    <t>B0CKBS3B8T</t>
  </si>
  <si>
    <t>B0CN3663LK</t>
  </si>
  <si>
    <t>B0CN35TJ6V</t>
  </si>
  <si>
    <t>B0CMX4P499</t>
  </si>
  <si>
    <t>B0CMCPXP21</t>
  </si>
  <si>
    <t>B0CMCNPTVP</t>
  </si>
  <si>
    <t>B0CKXLVGDJ</t>
  </si>
  <si>
    <t>B0CKXJPMXK</t>
  </si>
  <si>
    <t>B093Y224LS</t>
  </si>
  <si>
    <t>B093TDWT9W</t>
  </si>
  <si>
    <t>B094Y91XH8</t>
  </si>
  <si>
    <t>B0946YF51K</t>
  </si>
  <si>
    <t>B093T4RJ2F</t>
  </si>
  <si>
    <t>B0965L67M3</t>
  </si>
  <si>
    <t>B0BBS55MK1</t>
  </si>
  <si>
    <t>B09G6YLR9G</t>
  </si>
  <si>
    <t>B098XMNFX4</t>
  </si>
  <si>
    <t>B096G8PC4S</t>
  </si>
  <si>
    <t>B0BX42DWWZ</t>
  </si>
  <si>
    <t>B0BYF1YQ2H</t>
  </si>
  <si>
    <t>B06XTHSKYY</t>
  </si>
  <si>
    <t>B01B1I9POG</t>
  </si>
  <si>
    <t>B09MQS17RZ</t>
  </si>
  <si>
    <t>B09HXQZQFD</t>
  </si>
  <si>
    <t>B08NXNRCZ2</t>
  </si>
  <si>
    <t>B0DLWSYL3D</t>
  </si>
  <si>
    <t>B08519C87X</t>
  </si>
  <si>
    <t>B0852ZRQSD</t>
  </si>
  <si>
    <t>B084RK1HJK</t>
  </si>
  <si>
    <t>B084RR38SF</t>
  </si>
  <si>
    <t>B09MWJW3WN</t>
  </si>
  <si>
    <t>B0D7W2HLWS</t>
  </si>
  <si>
    <t>B0DBVBSG26</t>
  </si>
  <si>
    <t>B09MWJZ9NQ</t>
  </si>
  <si>
    <t>B084R7QN2X</t>
  </si>
  <si>
    <t>B0FPQHSDCP</t>
  </si>
  <si>
    <t>B0C2KTS5Z6</t>
  </si>
  <si>
    <t>B0DJFK33KC</t>
  </si>
  <si>
    <t>B0C2KRMRKX</t>
  </si>
  <si>
    <t>B0C1KCG64C</t>
  </si>
  <si>
    <t>B0C5CT39KP</t>
  </si>
  <si>
    <t>B0D794K9Y2</t>
  </si>
  <si>
    <t>B0D794CYXT</t>
  </si>
  <si>
    <t>B0D792644S</t>
  </si>
  <si>
    <t>B0D3X6K2R8</t>
  </si>
  <si>
    <t>B0C2KTQSBY</t>
  </si>
  <si>
    <t>B07B4SSPLT</t>
  </si>
  <si>
    <t>B0CHF49HKL</t>
  </si>
  <si>
    <t>B0CBMK1KDW</t>
  </si>
  <si>
    <t>B0CCDR7C3Y</t>
  </si>
  <si>
    <t>B0CKBCP377</t>
  </si>
  <si>
    <t>B0C5HNQK23</t>
  </si>
  <si>
    <t>B0DYTZ2K5D</t>
  </si>
  <si>
    <t>B0DYV3QCZY</t>
  </si>
  <si>
    <t>B0DM1Z7LKF</t>
  </si>
  <si>
    <t>B093Y44Y4N</t>
  </si>
  <si>
    <t>B0DP2CQ86C</t>
  </si>
  <si>
    <t>B0DSBVY2DZ</t>
  </si>
  <si>
    <t>B0FKT48QTS</t>
  </si>
  <si>
    <t>B0FKT4N8LL</t>
  </si>
  <si>
    <t>B0FKT58K36</t>
  </si>
  <si>
    <t>B0FYP9LKML</t>
  </si>
  <si>
    <t>B0FYPKVKM1</t>
  </si>
  <si>
    <t>B0F9KLC3FG</t>
  </si>
  <si>
    <t>B0FKSX19GB</t>
  </si>
  <si>
    <t>B0FKSYQY44</t>
  </si>
  <si>
    <t>B0F2YP7Z54</t>
  </si>
  <si>
    <t>B0F388H4Q2</t>
  </si>
  <si>
    <t>B0F5GRM2TF</t>
  </si>
  <si>
    <t>B0F6SWNTQK</t>
  </si>
  <si>
    <t>B0DZHGNY42</t>
  </si>
  <si>
    <t>B0859BKHDS</t>
  </si>
  <si>
    <t>B0F2YMKPSW</t>
  </si>
  <si>
    <t>B0F2YMHDH4</t>
  </si>
  <si>
    <t>B0CJ2FJ2RC</t>
  </si>
  <si>
    <t>B07FGFC7MJ</t>
  </si>
  <si>
    <t>B0CK5QJCJK</t>
  </si>
  <si>
    <t>B084RGFR9H</t>
  </si>
  <si>
    <t>B0849YZHB2</t>
  </si>
  <si>
    <t>B07BFQNJ39</t>
  </si>
  <si>
    <t>B07BV1V3RJ</t>
  </si>
  <si>
    <t>B07DHJB6LG</t>
  </si>
  <si>
    <t>B0CKBYH4JG</t>
  </si>
  <si>
    <t>B0CCHXR4X2</t>
  </si>
  <si>
    <t>B0C7W8P3F5</t>
  </si>
  <si>
    <t>B0C9JFJGGH</t>
  </si>
  <si>
    <t>B0CCHZ98M6</t>
  </si>
  <si>
    <t>B0CCHYJ6PP</t>
  </si>
  <si>
    <t>B0CG3HBJVQ</t>
  </si>
  <si>
    <t>B0CK4GMJK9</t>
  </si>
  <si>
    <t>B0CQ45K1JC</t>
  </si>
  <si>
    <t>B0CV55HWMR</t>
  </si>
  <si>
    <t>B0CN34J7VX</t>
  </si>
  <si>
    <t>B0CNR6VXHL</t>
  </si>
  <si>
    <t>B0CZXHLR1Q</t>
  </si>
  <si>
    <t>B0D292N6G6</t>
  </si>
  <si>
    <t>B0CTTPRK8V</t>
  </si>
  <si>
    <t>B0CC5ZVTNP</t>
  </si>
  <si>
    <t>B0C7VPSTSV</t>
  </si>
  <si>
    <t>B0C5CS3J1H</t>
  </si>
  <si>
    <t>B0C7VPNG9S</t>
  </si>
  <si>
    <t>B0C5HKD15M</t>
  </si>
  <si>
    <t>B0CX1X7ZT2</t>
  </si>
  <si>
    <t>B0C3ZVCSP7</t>
  </si>
  <si>
    <t>B0C5CTJD35</t>
  </si>
  <si>
    <t>B0C5CTBPJM</t>
  </si>
  <si>
    <t>B0CMCR651C</t>
  </si>
  <si>
    <t>B0CKFCBTHZ</t>
  </si>
  <si>
    <t>B0CV54J7JN</t>
  </si>
  <si>
    <t>B0C1KB1ST6</t>
  </si>
  <si>
    <t>B0BYZ9TKWZ</t>
  </si>
  <si>
    <t>B0C2D1HNCJ</t>
  </si>
  <si>
    <t>B0C2CZJJ6H</t>
  </si>
  <si>
    <t>B0C1GV78G1</t>
  </si>
  <si>
    <t>B0C2CXYHRK</t>
  </si>
  <si>
    <t>B0C2KV6F4Y</t>
  </si>
  <si>
    <t>B0C2KRQDF8</t>
  </si>
  <si>
    <t>B0C37PWHDM</t>
  </si>
  <si>
    <t>B0C2Z67QN4</t>
  </si>
  <si>
    <t>B0C2VVSJYP</t>
  </si>
  <si>
    <t>B0C2KW36BR</t>
  </si>
  <si>
    <t>B0CMQJV716</t>
  </si>
  <si>
    <t>B0D7W2S5FH</t>
  </si>
  <si>
    <t>B0D7W2H499</t>
  </si>
  <si>
    <t>B0D7VZFBNY</t>
  </si>
  <si>
    <t>B09N1NJR9D</t>
  </si>
  <si>
    <t>B0BWYRX152</t>
  </si>
  <si>
    <t>B0BX3WJ8XT</t>
  </si>
  <si>
    <t>B0BT82YDJK</t>
  </si>
  <si>
    <t>B0BBS81CB8</t>
  </si>
  <si>
    <t>B0B51ZZPJ9</t>
  </si>
  <si>
    <t>B0B6PKDWNC</t>
  </si>
  <si>
    <t>B0B8DZFLX9</t>
  </si>
  <si>
    <t>B0BBS53GNW</t>
  </si>
  <si>
    <t>B0B77GF35H</t>
  </si>
  <si>
    <t>B0C1K7JVB1</t>
  </si>
  <si>
    <t>B0D7964X6Y</t>
  </si>
  <si>
    <t>B0D7S28YVZ</t>
  </si>
  <si>
    <t>B0D6YSGJRX</t>
  </si>
  <si>
    <t>B0D7S2ZL7J</t>
  </si>
  <si>
    <t>B0D7S31N9W</t>
  </si>
  <si>
    <t>B0D7S36JJ6</t>
  </si>
  <si>
    <t>B0D795M8CY</t>
  </si>
  <si>
    <t>B0D7S58RX5</t>
  </si>
  <si>
    <t>B0D793HHTJ</t>
  </si>
  <si>
    <t>B0D792V56T</t>
  </si>
  <si>
    <t>B0D79259FX</t>
  </si>
  <si>
    <t>B0D7944QDY</t>
  </si>
  <si>
    <t>B0D793Q8M4</t>
  </si>
  <si>
    <t>B0D793WZ7Q</t>
  </si>
  <si>
    <t>B0BYZ3VCCJ</t>
  </si>
  <si>
    <t>B0BYZ36C6L</t>
  </si>
  <si>
    <t>B0BYVRT2NG</t>
  </si>
  <si>
    <t>B0BYVPLPCK</t>
  </si>
  <si>
    <t>B0D7VZQB4K</t>
  </si>
  <si>
    <t>B0DBZHMXVT</t>
  </si>
  <si>
    <t>B0DBV7KQPH</t>
  </si>
  <si>
    <t>B0DCJYBYG4</t>
  </si>
  <si>
    <t>B0DCJJRDJB</t>
  </si>
  <si>
    <t>B09VZBPGYR</t>
  </si>
  <si>
    <t>B09VZB4KJV</t>
  </si>
  <si>
    <t>B0B2K8F78C</t>
  </si>
  <si>
    <t>B0DK31FTZZ</t>
  </si>
  <si>
    <t>B09736Y1RB</t>
  </si>
  <si>
    <t>B09736QJQL</t>
  </si>
  <si>
    <t>B0965N6575</t>
  </si>
  <si>
    <t>B098QLF674</t>
  </si>
  <si>
    <t>B098P9KFYR</t>
  </si>
  <si>
    <t>B0DK3215HS</t>
  </si>
  <si>
    <t>B0DGKXC4PP</t>
  </si>
  <si>
    <t>B097DW2PTF</t>
  </si>
  <si>
    <t>B097DZSLT2</t>
  </si>
  <si>
    <t>B09C2H97M6</t>
  </si>
  <si>
    <t>B098XQCKR9</t>
  </si>
  <si>
    <t>B09C2G2Z9L</t>
  </si>
  <si>
    <t>B09LHL1FY9</t>
  </si>
  <si>
    <t>B09JSST32V</t>
  </si>
  <si>
    <t>B098XPY85G</t>
  </si>
  <si>
    <t>B09LR6K9N7</t>
  </si>
  <si>
    <t>B09LR68Z1N</t>
  </si>
  <si>
    <t>B09LVDG5GL</t>
  </si>
  <si>
    <t>B09MQRGZMT</t>
  </si>
  <si>
    <t>B09MWJ3JRH</t>
  </si>
  <si>
    <t>B09MWHMMRC</t>
  </si>
  <si>
    <t>B09MQTTBCW</t>
  </si>
  <si>
    <t>B09MQRV5QB</t>
  </si>
  <si>
    <t>B093HBMN1F</t>
  </si>
  <si>
    <t>B092W7382N</t>
  </si>
  <si>
    <t>B093HBB279</t>
  </si>
  <si>
    <t>B092ZWZ8N9</t>
  </si>
  <si>
    <t>B093T4C3T5</t>
  </si>
  <si>
    <t>B093HCQGSL</t>
  </si>
  <si>
    <t>B0DZHCY4J9</t>
  </si>
  <si>
    <t>B093T37BQ8</t>
  </si>
  <si>
    <t>B093T47DB9</t>
  </si>
  <si>
    <t>B093T3WNMZ</t>
  </si>
  <si>
    <t>B0DM8L3RFN</t>
  </si>
  <si>
    <t>B0DX72LBXY</t>
  </si>
  <si>
    <t>B0DR1WMNP6</t>
  </si>
  <si>
    <t>B0DQV7FV81</t>
  </si>
  <si>
    <t>B0DQ7WZX8R</t>
  </si>
  <si>
    <t>B0DZHGMJ66</t>
  </si>
  <si>
    <t>B08P1RGDGM</t>
  </si>
  <si>
    <t>B0DPMS12HM</t>
  </si>
  <si>
    <t>B0DP2SCC3K</t>
  </si>
  <si>
    <t>B072SM7SDH</t>
  </si>
  <si>
    <t>B076361161</t>
  </si>
  <si>
    <t>B0778H54P2</t>
  </si>
  <si>
    <t>B07B4RXHH5</t>
  </si>
  <si>
    <t>B08ML2FBSH</t>
  </si>
  <si>
    <t>B095T3CVSW</t>
  </si>
  <si>
    <t>B0DCVYB6D5</t>
  </si>
  <si>
    <t>B0DKX8ZFWG</t>
  </si>
  <si>
    <t>B0DDSVN4QD</t>
  </si>
  <si>
    <t>B094JW5HCK</t>
  </si>
  <si>
    <t>B094JXL9R9</t>
  </si>
  <si>
    <t>B094DN1XL1</t>
  </si>
  <si>
    <t>B09475DJFL</t>
  </si>
  <si>
    <t>B08DQSL4XF</t>
  </si>
  <si>
    <t>B08DK8FQSD</t>
  </si>
  <si>
    <t>B08P1R5JRF</t>
  </si>
  <si>
    <t>B08P1QWJ8T</t>
  </si>
  <si>
    <t>B08NXMY4QC</t>
  </si>
  <si>
    <t>B0926K8PWV</t>
  </si>
  <si>
    <t>B0922MS2L2</t>
  </si>
  <si>
    <t>B09227PYWL</t>
  </si>
  <si>
    <t>B093T2J5FZ</t>
  </si>
  <si>
    <t>B09MQTBVVQ</t>
  </si>
  <si>
    <t>B097DVN4SF</t>
  </si>
  <si>
    <t>B094DL6WJK</t>
  </si>
  <si>
    <t>B09KPXW56N</t>
  </si>
  <si>
    <t>B0DX75LF84</t>
  </si>
  <si>
    <t>B0DLWVFJ28</t>
  </si>
  <si>
    <t>B0DP2VNVVF</t>
  </si>
  <si>
    <t>B0CTTLSYK2</t>
  </si>
  <si>
    <t>B0CK1PJ7WY</t>
  </si>
  <si>
    <t>B0CCL729S8</t>
  </si>
  <si>
    <t>B0CKBSD2YW</t>
  </si>
  <si>
    <t>B0F2YL4BZC</t>
  </si>
  <si>
    <t>B0F2YN19BT</t>
  </si>
  <si>
    <t>B084SWSKBF</t>
  </si>
  <si>
    <t>B0CK1D6CR2</t>
  </si>
  <si>
    <t>B0C1KHWNCJ</t>
  </si>
  <si>
    <t>B0D7S35MGY</t>
  </si>
  <si>
    <t>B0DCJN2J6L</t>
  </si>
  <si>
    <t>B0CCHX3S7L</t>
  </si>
  <si>
    <t>B0B6PKCJJ2</t>
  </si>
  <si>
    <t>B0BWYVF5HJ</t>
  </si>
  <si>
    <t>B09MWJMZDV</t>
  </si>
  <si>
    <t>B0D7W2R3V1</t>
  </si>
  <si>
    <t>B08KJJWJKK</t>
  </si>
  <si>
    <t>B0DCVZSW3T</t>
  </si>
  <si>
    <t>B093T2C59D</t>
  </si>
  <si>
    <t>B093T3TR2Y</t>
  </si>
  <si>
    <t>B0F2F8SKBV</t>
  </si>
  <si>
    <t>B0CMCP8X1X</t>
  </si>
  <si>
    <t>B0D793GQ45</t>
  </si>
  <si>
    <t>B09N1PLYST</t>
  </si>
  <si>
    <t>B0DP2RQWTH</t>
  </si>
  <si>
    <t>B0BX4313DN</t>
  </si>
  <si>
    <t>B0CCHYD2JP</t>
  </si>
  <si>
    <t>B0D795H655</t>
  </si>
  <si>
    <t>B0947775WQ</t>
  </si>
  <si>
    <t>B0CBMH92KR</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</si>
</sst>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1F1F1F"/>
      <name val="Arial"/>
    </font>
    <font>
      <b/>
      <sz val="10.0"/>
      <color rgb="FFFFFFFF"/>
      <name val="Arial"/>
    </font>
    <font>
      <b/>
      <sz val="11.0"/>
      <color rgb="FFFFFFFF"/>
      <name val="Arial"/>
    </font>
    <font/>
    <font>
      <b/>
      <sz val="10.0"/>
      <color theme="1"/>
      <name val="Arial"/>
    </font>
    <font>
      <sz val="10.0"/>
      <color theme="1"/>
      <name val="Arial"/>
    </font>
    <font>
      <b/>
      <sz val="10.0"/>
      <color rgb="FF0000FF"/>
      <name val="Arial"/>
    </font>
    <font>
      <i/>
      <sz val="10.0"/>
      <color theme="1"/>
      <name val="Arial"/>
    </font>
  </fonts>
  <fills count="4">
    <fill>
      <patternFill patternType="none"/>
    </fill>
    <fill>
      <patternFill patternType="lightGray"/>
    </fill>
    <fill>
      <patternFill patternType="solid">
        <fgColor rgb="FF1F1F1F"/>
        <bgColor rgb="FF1F1F1F"/>
      </patternFill>
    </fill>
    <fill>
      <patternFill patternType="solid">
        <fgColor rgb="FFEAF1FB"/>
        <bgColor rgb="FFEAF1FB"/>
      </patternFill>
    </fill>
  </fills>
  <borders count="5">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1" fillId="2" fontId="2" numFmtId="0" xfId="0" applyAlignment="1" applyBorder="1" applyFont="1">
      <alignment horizontal="center" shrinkToFit="0" vertical="center" wrapText="1"/>
    </xf>
    <xf borderId="2" fillId="2" fontId="3" numFmtId="0" xfId="0" applyAlignment="1" applyBorder="1" applyFont="1">
      <alignment vertical="center"/>
    </xf>
    <xf borderId="3" fillId="0" fontId="4" numFmtId="0" xfId="0" applyBorder="1" applyFont="1"/>
    <xf borderId="4" fillId="0" fontId="4" numFmtId="0" xfId="0" applyBorder="1" applyFont="1"/>
    <xf borderId="1" fillId="0" fontId="5" numFmtId="0" xfId="0" applyBorder="1" applyFont="1"/>
    <xf borderId="0" fillId="0" fontId="6" numFmtId="0" xfId="0" applyAlignment="1" applyFont="1">
      <alignment shrinkToFit="0" vertical="top" wrapText="1"/>
    </xf>
    <xf borderId="1" fillId="0" fontId="6" numFmtId="0" xfId="0" applyAlignment="1" applyBorder="1" applyFont="1">
      <alignment horizontal="center"/>
    </xf>
    <xf borderId="1" fillId="0" fontId="6" numFmtId="0" xfId="0" applyBorder="1" applyFont="1"/>
    <xf borderId="1" fillId="0" fontId="6" numFmtId="0" xfId="0" applyAlignment="1" applyBorder="1" applyFont="1">
      <alignment shrinkToFit="0" vertical="top" wrapText="1"/>
    </xf>
    <xf borderId="0" fillId="0" fontId="5" numFmtId="0" xfId="0" applyAlignment="1" applyFont="1">
      <alignment shrinkToFit="0" vertical="top" wrapText="1"/>
    </xf>
    <xf borderId="1" fillId="3" fontId="7" numFmtId="1" xfId="0" applyAlignment="1" applyBorder="1" applyFill="1" applyFont="1" applyNumberFormat="1">
      <alignment horizontal="center"/>
    </xf>
    <xf borderId="1" fillId="0" fontId="6" numFmtId="10" xfId="0" applyBorder="1" applyFont="1" applyNumberFormat="1"/>
    <xf borderId="0" fillId="0" fontId="8" numFmtId="0" xfId="0" applyAlignment="1" applyFont="1">
      <alignment shrinkToFit="0" vertical="top" wrapText="1"/>
    </xf>
  </cellXfs>
  <cellStyles count="1">
    <cellStyle xfId="0" name="Normal" builtinId="0"/>
  </cellStyles>
  <dxfs count="3">
    <dxf>
      <font>
        <b/>
        <color rgb="FFC62828"/>
      </font>
      <fill>
        <patternFill patternType="solid">
          <fgColor rgb="FFF8D7DA"/>
          <bgColor rgb="FFF8D7DA"/>
        </patternFill>
      </fill>
      <border/>
    </dxf>
    <dxf>
      <font>
        <b/>
        <color rgb="FFB8860B"/>
      </font>
      <fill>
        <patternFill patternType="solid">
          <fgColor rgb="FFFFF3CD"/>
          <bgColor rgb="FFFFF3CD"/>
        </patternFill>
      </fill>
      <border/>
    </dxf>
    <dxf>
      <font>
        <b/>
        <color rgb="FF595959"/>
      </font>
      <fill>
        <patternFill patternType="solid">
          <fgColor rgb="FFF1F1F1"/>
          <bgColor rgb="FFF1F1F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95.0"/>
    <col customWidth="1" min="3" max="26" width="8.71"/>
  </cols>
  <sheetData>
    <row r="1" ht="14.25" customHeight="1"/>
    <row r="2" ht="14.25" customHeight="1">
      <c r="B2" s="1" t="s">
        <v>1</v>
      </c>
    </row>
    <row r="3" ht="14.25" customHeight="1"/>
    <row r="4" ht="19.5" customHeight="1">
      <c r="B4" s="4" t="s">
        <v>2</v>
      </c>
      <c r="C4" s="5"/>
      <c r="D4" s="5"/>
      <c r="E4" s="6"/>
    </row>
    <row r="5" ht="79.5" customHeight="1">
      <c r="B5" s="8" t="s">
        <v>12</v>
      </c>
    </row>
    <row r="6" ht="14.25" customHeight="1"/>
    <row r="7" ht="19.5" customHeight="1">
      <c r="B7" s="4" t="s">
        <v>15</v>
      </c>
      <c r="C7" s="5"/>
      <c r="D7" s="5"/>
      <c r="E7" s="6"/>
    </row>
    <row r="8" ht="78.0" customHeight="1">
      <c r="B8" s="8" t="s">
        <v>18</v>
      </c>
    </row>
    <row r="9" ht="14.25" customHeight="1"/>
    <row r="10" ht="14.25" customHeight="1"/>
    <row r="11" ht="19.5" customHeight="1">
      <c r="B11" s="4" t="s">
        <v>20</v>
      </c>
      <c r="C11" s="5"/>
      <c r="D11" s="5"/>
      <c r="E11" s="6"/>
    </row>
    <row r="12" ht="15.0" customHeight="1">
      <c r="B12" s="12" t="s">
        <v>23</v>
      </c>
    </row>
    <row r="13" ht="15.0" customHeight="1">
      <c r="B13" s="8" t="s">
        <v>25</v>
      </c>
    </row>
    <row r="14" ht="15.0" customHeight="1">
      <c r="B14" s="12" t="s">
        <v>26</v>
      </c>
    </row>
    <row r="15" ht="15.0" customHeight="1">
      <c r="B15" s="8" t="s">
        <v>27</v>
      </c>
    </row>
    <row r="16" ht="15.0" customHeight="1">
      <c r="B16" s="12" t="s">
        <v>28</v>
      </c>
    </row>
    <row r="17" ht="15.0" customHeight="1">
      <c r="B17" s="8" t="s">
        <v>30</v>
      </c>
    </row>
    <row r="18" ht="15.0" customHeight="1">
      <c r="B18" s="12" t="s">
        <v>16</v>
      </c>
    </row>
    <row r="19" ht="15.0" customHeight="1">
      <c r="B19" s="8" t="s">
        <v>32</v>
      </c>
    </row>
    <row r="20" ht="15.0" customHeight="1">
      <c r="B20" s="12" t="s">
        <v>17</v>
      </c>
    </row>
    <row r="21" ht="15.0" customHeight="1">
      <c r="B21" s="8" t="s">
        <v>34</v>
      </c>
    </row>
    <row r="22" ht="15.0" customHeight="1">
      <c r="B22" s="12" t="s">
        <v>36</v>
      </c>
    </row>
    <row r="23" ht="23.25" customHeight="1">
      <c r="B23" s="8" t="s">
        <v>37</v>
      </c>
    </row>
    <row r="24" ht="14.25" customHeight="1"/>
    <row r="25" ht="19.5" customHeight="1">
      <c r="B25" s="4" t="s">
        <v>38</v>
      </c>
      <c r="C25" s="5"/>
      <c r="D25" s="5"/>
      <c r="E25" s="6"/>
    </row>
    <row r="26" ht="23.25" customHeight="1">
      <c r="B26" s="8" t="s">
        <v>39</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B4:E4"/>
    <mergeCell ref="B5:E5"/>
    <mergeCell ref="B7:E7"/>
    <mergeCell ref="B8:E8"/>
    <mergeCell ref="B11:E11"/>
    <mergeCell ref="B12:E12"/>
    <mergeCell ref="B13:E13"/>
    <mergeCell ref="B21:E21"/>
    <mergeCell ref="B22:E22"/>
    <mergeCell ref="B23:E23"/>
    <mergeCell ref="B25:E25"/>
    <mergeCell ref="B26:E26"/>
    <mergeCell ref="B14:E14"/>
    <mergeCell ref="B15:E15"/>
    <mergeCell ref="B16:E16"/>
    <mergeCell ref="B17:E17"/>
    <mergeCell ref="B18:E18"/>
    <mergeCell ref="B19:E19"/>
    <mergeCell ref="B20:E2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8.0"/>
    <col customWidth="1" min="3" max="3" width="14.0"/>
    <col customWidth="1" min="4" max="4" width="70.0"/>
    <col customWidth="1" min="5" max="26" width="8.71"/>
  </cols>
  <sheetData>
    <row r="1" ht="14.25" customHeight="1"/>
    <row r="2" ht="14.25" customHeight="1">
      <c r="B2" s="1" t="s">
        <v>0</v>
      </c>
    </row>
    <row r="3" ht="14.25" customHeight="1"/>
    <row r="4" ht="14.25" customHeight="1">
      <c r="B4" s="2" t="s">
        <v>3</v>
      </c>
      <c r="C4" s="2" t="s">
        <v>5</v>
      </c>
      <c r="D4" s="2" t="s">
        <v>7</v>
      </c>
    </row>
    <row r="5" ht="60.0" customHeight="1">
      <c r="B5" s="7" t="s">
        <v>9</v>
      </c>
      <c r="C5" s="9" t="str">
        <f>"&lt; "&amp;C6</f>
        <v>&lt; 5</v>
      </c>
      <c r="D5" s="11" t="s">
        <v>22</v>
      </c>
    </row>
    <row r="6" ht="45.0" customHeight="1">
      <c r="B6" s="7" t="s">
        <v>24</v>
      </c>
      <c r="C6" s="13">
        <v>5.0</v>
      </c>
      <c r="D6" s="11" t="s">
        <v>29</v>
      </c>
    </row>
    <row r="7" ht="60.0" customHeight="1">
      <c r="B7" s="7" t="s">
        <v>31</v>
      </c>
      <c r="C7" s="13">
        <v>10.0</v>
      </c>
      <c r="D7" s="11" t="s">
        <v>33</v>
      </c>
    </row>
    <row r="8" ht="14.25" customHeight="1"/>
    <row r="9" ht="90.75" customHeight="1">
      <c r="B9" s="15" t="s">
        <v>35</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9:C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2.0"/>
    <col customWidth="1" min="2" max="2" width="11.0"/>
    <col customWidth="1" min="3" max="3" width="12.0"/>
    <col customWidth="1" min="4" max="4" width="11.0"/>
    <col customWidth="1" min="5" max="5" width="12.0"/>
    <col customWidth="1" min="6" max="6" width="13.0"/>
    <col customWidth="1" min="7" max="7" width="12.0"/>
    <col customWidth="1" min="8" max="8" width="11.0"/>
    <col customWidth="1" min="9" max="9" width="10.0"/>
    <col customWidth="1" min="10" max="10" width="15.71"/>
    <col customWidth="1" min="11" max="11" width="26.57"/>
    <col customWidth="1" min="12" max="12" width="213.14"/>
    <col customWidth="1" min="13" max="26" width="8.71"/>
  </cols>
  <sheetData>
    <row r="1" ht="14.25" customHeight="1">
      <c r="A1" s="1"/>
    </row>
    <row r="2" ht="14.25" customHeight="1"/>
    <row r="3" ht="30.0" customHeight="1">
      <c r="A3" s="3" t="s">
        <v>4</v>
      </c>
      <c r="B3" s="3" t="s">
        <v>6</v>
      </c>
      <c r="C3" s="3" t="s">
        <v>8</v>
      </c>
      <c r="D3" s="3" t="s">
        <v>10</v>
      </c>
      <c r="E3" s="3" t="s">
        <v>11</v>
      </c>
      <c r="F3" s="3" t="s">
        <v>13</v>
      </c>
      <c r="G3" s="3" t="s">
        <v>14</v>
      </c>
      <c r="H3" s="3" t="s">
        <v>16</v>
      </c>
      <c r="I3" s="3" t="s">
        <v>17</v>
      </c>
      <c r="J3" s="3" t="s">
        <v>3</v>
      </c>
      <c r="K3" s="3" t="s">
        <v>19</v>
      </c>
      <c r="L3" s="3" t="s">
        <v>7</v>
      </c>
    </row>
    <row r="4" ht="14.25" customHeight="1">
      <c r="A4" s="10" t="s">
        <v>21</v>
      </c>
      <c r="B4" s="10">
        <v>15.0</v>
      </c>
      <c r="C4" s="10">
        <v>21.0</v>
      </c>
      <c r="D4" s="10">
        <v>0.0</v>
      </c>
      <c r="E4" s="10">
        <v>4.0</v>
      </c>
      <c r="F4" s="10">
        <v>4.0</v>
      </c>
      <c r="G4" s="10">
        <v>0.0</v>
      </c>
      <c r="H4" s="14">
        <v>1.0</v>
      </c>
      <c r="I4" s="7">
        <f t="shared" ref="I4:I529" si="1">E4-B4</f>
        <v>-11</v>
      </c>
      <c r="J4" s="10" t="str">
        <f>IF(MAX(B4,E4)&gt;=Thresholds!$C$7,"Tier 3 - High",IF(MAX(B4,E4)&gt;=Thresholds!$C$6,"Tier 2 - Moderate","Tier 1 - Low"))</f>
        <v>Tier 3 - High</v>
      </c>
      <c r="K4" s="7" t="str">
        <f t="shared" ref="K4:K529" si="2">IF(J4="Tier 1 - Low","Low Volume - Setup Needed",IF(J4="Tier 2 - Moderate","Moderate - Review","High - Priority Review"))</f>
        <v>High - Priority Review</v>
      </c>
      <c r="L4" s="10" t="str">
        <f t="shared" ref="L4:L529" si="3">IF(J4="Tier 1 - Low","Low/no B2B traffic yet - set a Business Price (5-10% below retail) and Quantity Discount tiers (e.g. 5+ units 5% off, 10+ units 10% off) to attract first B2B interest; add bulk/case-pack info to title and bullets",IF(J4="Tier 2 - Moderate","Light check - Buy Box %, confirm Business Price/Quantity Discount still active, quick scan of title and main image","Priority review - Buy Box % and stock, Business Price and Quantity Discount tiers, spec table plus bulk/case-pack info, A+ business use-case content, Business-only offers enabled, VAT invoicing support, backend B2B search terms, certifications visible"))</f>
        <v>Priority review - Buy Box % and stock, Business Price and Quantity Discount tiers, spec table plus bulk/case-pack info, A+ business use-case content, Business-only offers enabled, VAT invoicing support, backend B2B search terms, certifications visible</v>
      </c>
    </row>
    <row r="5" ht="14.25" customHeight="1">
      <c r="A5" s="10" t="s">
        <v>40</v>
      </c>
      <c r="B5" s="10">
        <v>10.0</v>
      </c>
      <c r="C5" s="10">
        <v>16.0</v>
      </c>
      <c r="D5" s="10">
        <v>5.0</v>
      </c>
      <c r="E5" s="10">
        <v>1.0</v>
      </c>
      <c r="F5" s="10">
        <v>1.0</v>
      </c>
      <c r="G5" s="10">
        <v>0.0</v>
      </c>
      <c r="H5" s="14">
        <v>0.0417</v>
      </c>
      <c r="I5" s="7">
        <f t="shared" si="1"/>
        <v>-9</v>
      </c>
      <c r="J5" s="10" t="str">
        <f>IF(MAX(B5,E5)&gt;=Thresholds!$C$7,"Tier 3 - High",IF(MAX(B5,E5)&gt;=Thresholds!$C$6,"Tier 2 - Moderate","Tier 1 - Low"))</f>
        <v>Tier 3 - High</v>
      </c>
      <c r="K5" s="7" t="str">
        <f t="shared" si="2"/>
        <v>High - Priority Review</v>
      </c>
      <c r="L5" s="10" t="str">
        <f t="shared" si="3"/>
        <v>Priority review - Buy Box % and stock, Business Price and Quantity Discount tiers, spec table plus bulk/case-pack info, A+ business use-case content, Business-only offers enabled, VAT invoicing support, backend B2B search terms, certifications visible</v>
      </c>
    </row>
    <row r="6" ht="14.25" customHeight="1">
      <c r="A6" s="10" t="s">
        <v>41</v>
      </c>
      <c r="B6" s="10">
        <v>7.0</v>
      </c>
      <c r="C6" s="10">
        <v>8.0</v>
      </c>
      <c r="D6" s="10">
        <v>3.0</v>
      </c>
      <c r="E6" s="10">
        <v>0.0</v>
      </c>
      <c r="F6" s="10">
        <v>0.0</v>
      </c>
      <c r="G6" s="10">
        <v>0.0</v>
      </c>
      <c r="H6" s="14">
        <v>0.0</v>
      </c>
      <c r="I6" s="7">
        <f t="shared" si="1"/>
        <v>-7</v>
      </c>
      <c r="J6" s="10" t="str">
        <f>IF(MAX(B6,E6)&gt;=Thresholds!$C$7,"Tier 3 - High",IF(MAX(B6,E6)&gt;=Thresholds!$C$6,"Tier 2 - Moderate","Tier 1 - Low"))</f>
        <v>Tier 2 - Moderate</v>
      </c>
      <c r="K6" s="7" t="str">
        <f t="shared" si="2"/>
        <v>Moderate - Review</v>
      </c>
      <c r="L6" s="10" t="str">
        <f t="shared" si="3"/>
        <v>Light check - Buy Box %, confirm Business Price/Quantity Discount still active, quick scan of title and main image</v>
      </c>
    </row>
    <row r="7" ht="14.25" customHeight="1">
      <c r="A7" s="10" t="s">
        <v>42</v>
      </c>
      <c r="B7" s="10">
        <v>15.0</v>
      </c>
      <c r="C7" s="10">
        <v>19.0</v>
      </c>
      <c r="D7" s="10">
        <v>0.0</v>
      </c>
      <c r="E7" s="10">
        <v>8.0</v>
      </c>
      <c r="F7" s="10">
        <v>14.0</v>
      </c>
      <c r="G7" s="10">
        <v>0.0</v>
      </c>
      <c r="H7" s="14">
        <v>1.0</v>
      </c>
      <c r="I7" s="7">
        <f t="shared" si="1"/>
        <v>-7</v>
      </c>
      <c r="J7" s="10" t="str">
        <f>IF(MAX(B7,E7)&gt;=Thresholds!$C$7,"Tier 3 - High",IF(MAX(B7,E7)&gt;=Thresholds!$C$6,"Tier 2 - Moderate","Tier 1 - Low"))</f>
        <v>Tier 3 - High</v>
      </c>
      <c r="K7" s="7" t="str">
        <f t="shared" si="2"/>
        <v>High - Priority Review</v>
      </c>
      <c r="L7" s="10" t="str">
        <f t="shared" si="3"/>
        <v>Priority review - Buy Box % and stock, Business Price and Quantity Discount tiers, spec table plus bulk/case-pack info, A+ business use-case content, Business-only offers enabled, VAT invoicing support, backend B2B search terms, certifications visible</v>
      </c>
    </row>
    <row r="8" ht="14.25" customHeight="1">
      <c r="A8" s="10" t="s">
        <v>43</v>
      </c>
      <c r="B8" s="10">
        <v>7.0</v>
      </c>
      <c r="C8" s="10">
        <v>7.0</v>
      </c>
      <c r="D8" s="10">
        <v>0.0</v>
      </c>
      <c r="E8" s="10">
        <v>0.0</v>
      </c>
      <c r="F8" s="10">
        <v>0.0</v>
      </c>
      <c r="G8" s="10">
        <v>0.0</v>
      </c>
      <c r="H8" s="14">
        <v>1.0</v>
      </c>
      <c r="I8" s="7">
        <f t="shared" si="1"/>
        <v>-7</v>
      </c>
      <c r="J8" s="10" t="str">
        <f>IF(MAX(B8,E8)&gt;=Thresholds!$C$7,"Tier 3 - High",IF(MAX(B8,E8)&gt;=Thresholds!$C$6,"Tier 2 - Moderate","Tier 1 - Low"))</f>
        <v>Tier 2 - Moderate</v>
      </c>
      <c r="K8" s="7" t="str">
        <f t="shared" si="2"/>
        <v>Moderate - Review</v>
      </c>
      <c r="L8" s="10" t="str">
        <f t="shared" si="3"/>
        <v>Light check - Buy Box %, confirm Business Price/Quantity Discount still active, quick scan of title and main image</v>
      </c>
    </row>
    <row r="9" ht="14.25" customHeight="1">
      <c r="A9" s="10" t="s">
        <v>44</v>
      </c>
      <c r="B9" s="10">
        <v>9.0</v>
      </c>
      <c r="C9" s="10">
        <v>29.0</v>
      </c>
      <c r="D9" s="10">
        <v>0.0</v>
      </c>
      <c r="E9" s="10">
        <v>2.0</v>
      </c>
      <c r="F9" s="10">
        <v>2.0</v>
      </c>
      <c r="G9" s="10">
        <v>0.0</v>
      </c>
      <c r="H9" s="14">
        <v>1.0</v>
      </c>
      <c r="I9" s="7">
        <f t="shared" si="1"/>
        <v>-7</v>
      </c>
      <c r="J9" s="10" t="str">
        <f>IF(MAX(B9,E9)&gt;=Thresholds!$C$7,"Tier 3 - High",IF(MAX(B9,E9)&gt;=Thresholds!$C$6,"Tier 2 - Moderate","Tier 1 - Low"))</f>
        <v>Tier 2 - Moderate</v>
      </c>
      <c r="K9" s="7" t="str">
        <f t="shared" si="2"/>
        <v>Moderate - Review</v>
      </c>
      <c r="L9" s="10" t="str">
        <f t="shared" si="3"/>
        <v>Light check - Buy Box %, confirm Business Price/Quantity Discount still active, quick scan of title and main image</v>
      </c>
    </row>
    <row r="10" ht="14.25" customHeight="1">
      <c r="A10" s="10" t="s">
        <v>45</v>
      </c>
      <c r="B10" s="10">
        <v>7.0</v>
      </c>
      <c r="C10" s="10">
        <v>19.0</v>
      </c>
      <c r="D10" s="10">
        <v>2.0</v>
      </c>
      <c r="E10" s="10">
        <v>0.0</v>
      </c>
      <c r="F10" s="10">
        <v>0.0</v>
      </c>
      <c r="G10" s="10">
        <v>0.0</v>
      </c>
      <c r="H10" s="14">
        <v>0.6154</v>
      </c>
      <c r="I10" s="7">
        <f t="shared" si="1"/>
        <v>-7</v>
      </c>
      <c r="J10" s="10" t="str">
        <f>IF(MAX(B10,E10)&gt;=Thresholds!$C$7,"Tier 3 - High",IF(MAX(B10,E10)&gt;=Thresholds!$C$6,"Tier 2 - Moderate","Tier 1 - Low"))</f>
        <v>Tier 2 - Moderate</v>
      </c>
      <c r="K10" s="7" t="str">
        <f t="shared" si="2"/>
        <v>Moderate - Review</v>
      </c>
      <c r="L10" s="10" t="str">
        <f t="shared" si="3"/>
        <v>Light check - Buy Box %, confirm Business Price/Quantity Discount still active, quick scan of title and main image</v>
      </c>
    </row>
    <row r="11" ht="14.25" customHeight="1">
      <c r="A11" s="10" t="s">
        <v>46</v>
      </c>
      <c r="B11" s="10">
        <v>7.0</v>
      </c>
      <c r="C11" s="10">
        <v>10.0</v>
      </c>
      <c r="D11" s="10">
        <v>0.0</v>
      </c>
      <c r="E11" s="10">
        <v>1.0</v>
      </c>
      <c r="F11" s="10">
        <v>1.0</v>
      </c>
      <c r="G11" s="10">
        <v>0.0</v>
      </c>
      <c r="H11" s="14">
        <v>0.9375</v>
      </c>
      <c r="I11" s="7">
        <f t="shared" si="1"/>
        <v>-6</v>
      </c>
      <c r="J11" s="10" t="str">
        <f>IF(MAX(B11,E11)&gt;=Thresholds!$C$7,"Tier 3 - High",IF(MAX(B11,E11)&gt;=Thresholds!$C$6,"Tier 2 - Moderate","Tier 1 - Low"))</f>
        <v>Tier 2 - Moderate</v>
      </c>
      <c r="K11" s="7" t="str">
        <f t="shared" si="2"/>
        <v>Moderate - Review</v>
      </c>
      <c r="L11" s="10" t="str">
        <f t="shared" si="3"/>
        <v>Light check - Buy Box %, confirm Business Price/Quantity Discount still active, quick scan of title and main image</v>
      </c>
    </row>
    <row r="12" ht="14.25" customHeight="1">
      <c r="A12" s="10" t="s">
        <v>47</v>
      </c>
      <c r="B12" s="10">
        <v>6.0</v>
      </c>
      <c r="C12" s="10">
        <v>8.0</v>
      </c>
      <c r="D12" s="10">
        <v>0.0</v>
      </c>
      <c r="E12" s="10">
        <v>0.0</v>
      </c>
      <c r="F12" s="10">
        <v>0.0</v>
      </c>
      <c r="G12" s="10">
        <v>0.0</v>
      </c>
      <c r="H12" s="14">
        <v>0.0</v>
      </c>
      <c r="I12" s="7">
        <f t="shared" si="1"/>
        <v>-6</v>
      </c>
      <c r="J12" s="10" t="str">
        <f>IF(MAX(B12,E12)&gt;=Thresholds!$C$7,"Tier 3 - High",IF(MAX(B12,E12)&gt;=Thresholds!$C$6,"Tier 2 - Moderate","Tier 1 - Low"))</f>
        <v>Tier 2 - Moderate</v>
      </c>
      <c r="K12" s="7" t="str">
        <f t="shared" si="2"/>
        <v>Moderate - Review</v>
      </c>
      <c r="L12" s="10" t="str">
        <f t="shared" si="3"/>
        <v>Light check - Buy Box %, confirm Business Price/Quantity Discount still active, quick scan of title and main image</v>
      </c>
    </row>
    <row r="13" ht="14.25" customHeight="1">
      <c r="A13" s="10" t="s">
        <v>48</v>
      </c>
      <c r="B13" s="10">
        <v>5.0</v>
      </c>
      <c r="C13" s="10">
        <v>11.0</v>
      </c>
      <c r="D13" s="10">
        <v>1.0</v>
      </c>
      <c r="E13" s="10">
        <v>0.0</v>
      </c>
      <c r="F13" s="10">
        <v>0.0</v>
      </c>
      <c r="G13" s="10">
        <v>0.0</v>
      </c>
      <c r="H13" s="14">
        <v>0.9515</v>
      </c>
      <c r="I13" s="7">
        <f t="shared" si="1"/>
        <v>-5</v>
      </c>
      <c r="J13" s="10" t="str">
        <f>IF(MAX(B13,E13)&gt;=Thresholds!$C$7,"Tier 3 - High",IF(MAX(B13,E13)&gt;=Thresholds!$C$6,"Tier 2 - Moderate","Tier 1 - Low"))</f>
        <v>Tier 2 - Moderate</v>
      </c>
      <c r="K13" s="7" t="str">
        <f t="shared" si="2"/>
        <v>Moderate - Review</v>
      </c>
      <c r="L13" s="10" t="str">
        <f t="shared" si="3"/>
        <v>Light check - Buy Box %, confirm Business Price/Quantity Discount still active, quick scan of title and main image</v>
      </c>
    </row>
    <row r="14" ht="14.25" customHeight="1">
      <c r="A14" s="10" t="s">
        <v>49</v>
      </c>
      <c r="B14" s="10">
        <v>5.0</v>
      </c>
      <c r="C14" s="10">
        <v>7.0</v>
      </c>
      <c r="D14" s="10">
        <v>0.0</v>
      </c>
      <c r="E14" s="10">
        <v>0.0</v>
      </c>
      <c r="F14" s="10">
        <v>0.0</v>
      </c>
      <c r="G14" s="10">
        <v>0.0</v>
      </c>
      <c r="H14" s="14">
        <v>1.0</v>
      </c>
      <c r="I14" s="7">
        <f t="shared" si="1"/>
        <v>-5</v>
      </c>
      <c r="J14" s="10" t="str">
        <f>IF(MAX(B14,E14)&gt;=Thresholds!$C$7,"Tier 3 - High",IF(MAX(B14,E14)&gt;=Thresholds!$C$6,"Tier 2 - Moderate","Tier 1 - Low"))</f>
        <v>Tier 2 - Moderate</v>
      </c>
      <c r="K14" s="7" t="str">
        <f t="shared" si="2"/>
        <v>Moderate - Review</v>
      </c>
      <c r="L14" s="10" t="str">
        <f t="shared" si="3"/>
        <v>Light check - Buy Box %, confirm Business Price/Quantity Discount still active, quick scan of title and main image</v>
      </c>
    </row>
    <row r="15" ht="14.25" customHeight="1">
      <c r="A15" s="10" t="s">
        <v>50</v>
      </c>
      <c r="B15" s="10">
        <v>4.0</v>
      </c>
      <c r="C15" s="10">
        <v>6.0</v>
      </c>
      <c r="D15" s="10">
        <v>0.0</v>
      </c>
      <c r="E15" s="10">
        <v>0.0</v>
      </c>
      <c r="F15" s="10">
        <v>0.0</v>
      </c>
      <c r="G15" s="10">
        <v>0.0</v>
      </c>
      <c r="H15" s="14">
        <v>0.3333</v>
      </c>
      <c r="I15" s="7">
        <f t="shared" si="1"/>
        <v>-4</v>
      </c>
      <c r="J15" s="10" t="str">
        <f>IF(MAX(B15,E15)&gt;=Thresholds!$C$7,"Tier 3 - High",IF(MAX(B15,E15)&gt;=Thresholds!$C$6,"Tier 2 - Moderate","Tier 1 - Low"))</f>
        <v>Tier 1 - Low</v>
      </c>
      <c r="K15" s="7" t="str">
        <f t="shared" si="2"/>
        <v>Low Volume - Setup Needed</v>
      </c>
      <c r="L15" s="10" t="str">
        <f t="shared" si="3"/>
        <v>Low/no B2B traffic yet - set a Business Price (5-10% below retail) and Quantity Discount tiers (e.g. 5+ units 5% off, 10+ units 10% off) to attract first B2B interest; add bulk/case-pack info to title and bullets</v>
      </c>
    </row>
    <row r="16" ht="14.25" customHeight="1">
      <c r="A16" s="10" t="s">
        <v>51</v>
      </c>
      <c r="B16" s="10">
        <v>4.0</v>
      </c>
      <c r="C16" s="10">
        <v>5.0</v>
      </c>
      <c r="D16" s="10">
        <v>0.0</v>
      </c>
      <c r="E16" s="10">
        <v>0.0</v>
      </c>
      <c r="F16" s="10">
        <v>0.0</v>
      </c>
      <c r="G16" s="10">
        <v>0.0</v>
      </c>
      <c r="H16" s="14">
        <v>1.0</v>
      </c>
      <c r="I16" s="7">
        <f t="shared" si="1"/>
        <v>-4</v>
      </c>
      <c r="J16" s="10" t="str">
        <f>IF(MAX(B16,E16)&gt;=Thresholds!$C$7,"Tier 3 - High",IF(MAX(B16,E16)&gt;=Thresholds!$C$6,"Tier 2 - Moderate","Tier 1 - Low"))</f>
        <v>Tier 1 - Low</v>
      </c>
      <c r="K16" s="7" t="str">
        <f t="shared" si="2"/>
        <v>Low Volume - Setup Needed</v>
      </c>
      <c r="L16" s="10" t="str">
        <f t="shared" si="3"/>
        <v>Low/no B2B traffic yet - set a Business Price (5-10% below retail) and Quantity Discount tiers (e.g. 5+ units 5% off, 10+ units 10% off) to attract first B2B interest; add bulk/case-pack info to title and bullets</v>
      </c>
    </row>
    <row r="17" ht="14.25" customHeight="1">
      <c r="A17" s="10" t="s">
        <v>52</v>
      </c>
      <c r="B17" s="10">
        <v>5.0</v>
      </c>
      <c r="C17" s="10">
        <v>8.0</v>
      </c>
      <c r="D17" s="10">
        <v>1.0</v>
      </c>
      <c r="E17" s="10">
        <v>1.0</v>
      </c>
      <c r="F17" s="10">
        <v>2.0</v>
      </c>
      <c r="G17" s="10">
        <v>0.0</v>
      </c>
      <c r="H17" s="14">
        <v>1.0</v>
      </c>
      <c r="I17" s="7">
        <f t="shared" si="1"/>
        <v>-4</v>
      </c>
      <c r="J17" s="10" t="str">
        <f>IF(MAX(B17,E17)&gt;=Thresholds!$C$7,"Tier 3 - High",IF(MAX(B17,E17)&gt;=Thresholds!$C$6,"Tier 2 - Moderate","Tier 1 - Low"))</f>
        <v>Tier 2 - Moderate</v>
      </c>
      <c r="K17" s="7" t="str">
        <f t="shared" si="2"/>
        <v>Moderate - Review</v>
      </c>
      <c r="L17" s="10" t="str">
        <f t="shared" si="3"/>
        <v>Light check - Buy Box %, confirm Business Price/Quantity Discount still active, quick scan of title and main image</v>
      </c>
    </row>
    <row r="18" ht="14.25" customHeight="1">
      <c r="A18" s="10" t="s">
        <v>53</v>
      </c>
      <c r="B18" s="10">
        <v>4.0</v>
      </c>
      <c r="C18" s="10">
        <v>5.0</v>
      </c>
      <c r="D18" s="10">
        <v>0.0</v>
      </c>
      <c r="E18" s="10">
        <v>0.0</v>
      </c>
      <c r="F18" s="10">
        <v>0.0</v>
      </c>
      <c r="G18" s="10">
        <v>0.0</v>
      </c>
      <c r="H18" s="14">
        <v>0.9923</v>
      </c>
      <c r="I18" s="7">
        <f t="shared" si="1"/>
        <v>-4</v>
      </c>
      <c r="J18" s="10" t="str">
        <f>IF(MAX(B18,E18)&gt;=Thresholds!$C$7,"Tier 3 - High",IF(MAX(B18,E18)&gt;=Thresholds!$C$6,"Tier 2 - Moderate","Tier 1 - Low"))</f>
        <v>Tier 1 - Low</v>
      </c>
      <c r="K18" s="7" t="str">
        <f t="shared" si="2"/>
        <v>Low Volume - Setup Needed</v>
      </c>
      <c r="L18" s="10" t="str">
        <f t="shared" si="3"/>
        <v>Low/no B2B traffic yet - set a Business Price (5-10% below retail) and Quantity Discount tiers (e.g. 5+ units 5% off, 10+ units 10% off) to attract first B2B interest; add bulk/case-pack info to title and bullets</v>
      </c>
    </row>
    <row r="19" ht="14.25" customHeight="1">
      <c r="A19" s="10" t="s">
        <v>54</v>
      </c>
      <c r="B19" s="10">
        <v>4.0</v>
      </c>
      <c r="C19" s="10">
        <v>8.0</v>
      </c>
      <c r="D19" s="10">
        <v>3.0</v>
      </c>
      <c r="E19" s="10">
        <v>0.0</v>
      </c>
      <c r="F19" s="10">
        <v>0.0</v>
      </c>
      <c r="G19" s="10">
        <v>0.0</v>
      </c>
      <c r="H19" s="14">
        <v>0.5263</v>
      </c>
      <c r="I19" s="7">
        <f t="shared" si="1"/>
        <v>-4</v>
      </c>
      <c r="J19" s="10" t="str">
        <f>IF(MAX(B19,E19)&gt;=Thresholds!$C$7,"Tier 3 - High",IF(MAX(B19,E19)&gt;=Thresholds!$C$6,"Tier 2 - Moderate","Tier 1 - Low"))</f>
        <v>Tier 1 - Low</v>
      </c>
      <c r="K19" s="7" t="str">
        <f t="shared" si="2"/>
        <v>Low Volume - Setup Needed</v>
      </c>
      <c r="L19" s="10" t="str">
        <f t="shared" si="3"/>
        <v>Low/no B2B traffic yet - set a Business Price (5-10% below retail) and Quantity Discount tiers (e.g. 5+ units 5% off, 10+ units 10% off) to attract first B2B interest; add bulk/case-pack info to title and bullets</v>
      </c>
    </row>
    <row r="20" ht="14.25" customHeight="1">
      <c r="A20" s="10" t="s">
        <v>55</v>
      </c>
      <c r="B20" s="10">
        <v>5.0</v>
      </c>
      <c r="C20" s="10">
        <v>5.0</v>
      </c>
      <c r="D20" s="10">
        <v>0.0</v>
      </c>
      <c r="E20" s="10">
        <v>1.0</v>
      </c>
      <c r="F20" s="10">
        <v>2.0</v>
      </c>
      <c r="G20" s="10">
        <v>0.0</v>
      </c>
      <c r="H20" s="14">
        <v>0.9737</v>
      </c>
      <c r="I20" s="7">
        <f t="shared" si="1"/>
        <v>-4</v>
      </c>
      <c r="J20" s="10" t="str">
        <f>IF(MAX(B20,E20)&gt;=Thresholds!$C$7,"Tier 3 - High",IF(MAX(B20,E20)&gt;=Thresholds!$C$6,"Tier 2 - Moderate","Tier 1 - Low"))</f>
        <v>Tier 2 - Moderate</v>
      </c>
      <c r="K20" s="7" t="str">
        <f t="shared" si="2"/>
        <v>Moderate - Review</v>
      </c>
      <c r="L20" s="10" t="str">
        <f t="shared" si="3"/>
        <v>Light check - Buy Box %, confirm Business Price/Quantity Discount still active, quick scan of title and main image</v>
      </c>
    </row>
    <row r="21" ht="14.25" customHeight="1">
      <c r="A21" s="10" t="s">
        <v>56</v>
      </c>
      <c r="B21" s="10">
        <v>4.0</v>
      </c>
      <c r="C21" s="10">
        <v>6.0</v>
      </c>
      <c r="D21" s="10">
        <v>4.0</v>
      </c>
      <c r="E21" s="10">
        <v>0.0</v>
      </c>
      <c r="F21" s="10">
        <v>0.0</v>
      </c>
      <c r="G21" s="10">
        <v>0.0</v>
      </c>
      <c r="H21" s="14">
        <v>0.9231</v>
      </c>
      <c r="I21" s="7">
        <f t="shared" si="1"/>
        <v>-4</v>
      </c>
      <c r="J21" s="10" t="str">
        <f>IF(MAX(B21,E21)&gt;=Thresholds!$C$7,"Tier 3 - High",IF(MAX(B21,E21)&gt;=Thresholds!$C$6,"Tier 2 - Moderate","Tier 1 - Low"))</f>
        <v>Tier 1 - Low</v>
      </c>
      <c r="K21" s="7" t="str">
        <f t="shared" si="2"/>
        <v>Low Volume - Setup Needed</v>
      </c>
      <c r="L21" s="10" t="str">
        <f t="shared" si="3"/>
        <v>Low/no B2B traffic yet - set a Business Price (5-10% below retail) and Quantity Discount tiers (e.g. 5+ units 5% off, 10+ units 10% off) to attract first B2B interest; add bulk/case-pack info to title and bullets</v>
      </c>
    </row>
    <row r="22" ht="14.25" customHeight="1">
      <c r="A22" s="10" t="s">
        <v>57</v>
      </c>
      <c r="B22" s="10">
        <v>27.0</v>
      </c>
      <c r="C22" s="10">
        <v>42.0</v>
      </c>
      <c r="D22" s="10">
        <v>1.0</v>
      </c>
      <c r="E22" s="10">
        <v>23.0</v>
      </c>
      <c r="F22" s="10">
        <v>30.0</v>
      </c>
      <c r="G22" s="10">
        <v>25.0</v>
      </c>
      <c r="H22" s="14">
        <v>0.9974</v>
      </c>
      <c r="I22" s="7">
        <f t="shared" si="1"/>
        <v>-4</v>
      </c>
      <c r="J22" s="10" t="str">
        <f>IF(MAX(B22,E22)&gt;=Thresholds!$C$7,"Tier 3 - High",IF(MAX(B22,E22)&gt;=Thresholds!$C$6,"Tier 2 - Moderate","Tier 1 - Low"))</f>
        <v>Tier 3 - High</v>
      </c>
      <c r="K22" s="7" t="str">
        <f t="shared" si="2"/>
        <v>High - Priority Review</v>
      </c>
      <c r="L22" s="10" t="str">
        <f t="shared" si="3"/>
        <v>Priority review - Buy Box % and stock, Business Price and Quantity Discount tiers, spec table plus bulk/case-pack info, A+ business use-case content, Business-only offers enabled, VAT invoicing support, backend B2B search terms, certifications visible</v>
      </c>
    </row>
    <row r="23" ht="14.25" customHeight="1">
      <c r="A23" s="10" t="s">
        <v>58</v>
      </c>
      <c r="B23" s="10">
        <v>4.0</v>
      </c>
      <c r="C23" s="10">
        <v>5.0</v>
      </c>
      <c r="D23" s="10">
        <v>0.0</v>
      </c>
      <c r="E23" s="10">
        <v>0.0</v>
      </c>
      <c r="F23" s="10">
        <v>0.0</v>
      </c>
      <c r="G23" s="10">
        <v>0.0</v>
      </c>
      <c r="H23" s="14">
        <v>1.0</v>
      </c>
      <c r="I23" s="7">
        <f t="shared" si="1"/>
        <v>-4</v>
      </c>
      <c r="J23" s="10" t="str">
        <f>IF(MAX(B23,E23)&gt;=Thresholds!$C$7,"Tier 3 - High",IF(MAX(B23,E23)&gt;=Thresholds!$C$6,"Tier 2 - Moderate","Tier 1 - Low"))</f>
        <v>Tier 1 - Low</v>
      </c>
      <c r="K23" s="7" t="str">
        <f t="shared" si="2"/>
        <v>Low Volume - Setup Needed</v>
      </c>
      <c r="L23" s="10" t="str">
        <f t="shared" si="3"/>
        <v>Low/no B2B traffic yet - set a Business Price (5-10% below retail) and Quantity Discount tiers (e.g. 5+ units 5% off, 10+ units 10% off) to attract first B2B interest; add bulk/case-pack info to title and bullets</v>
      </c>
    </row>
    <row r="24" ht="14.25" customHeight="1">
      <c r="A24" s="10" t="s">
        <v>59</v>
      </c>
      <c r="B24" s="10">
        <v>5.0</v>
      </c>
      <c r="C24" s="10">
        <v>8.0</v>
      </c>
      <c r="D24" s="10">
        <v>1.0</v>
      </c>
      <c r="E24" s="10">
        <v>2.0</v>
      </c>
      <c r="F24" s="10">
        <v>5.0</v>
      </c>
      <c r="G24" s="10">
        <v>0.0</v>
      </c>
      <c r="H24" s="14">
        <v>0.9423</v>
      </c>
      <c r="I24" s="7">
        <f t="shared" si="1"/>
        <v>-3</v>
      </c>
      <c r="J24" s="10" t="str">
        <f>IF(MAX(B24,E24)&gt;=Thresholds!$C$7,"Tier 3 - High",IF(MAX(B24,E24)&gt;=Thresholds!$C$6,"Tier 2 - Moderate","Tier 1 - Low"))</f>
        <v>Tier 2 - Moderate</v>
      </c>
      <c r="K24" s="7" t="str">
        <f t="shared" si="2"/>
        <v>Moderate - Review</v>
      </c>
      <c r="L24" s="10" t="str">
        <f t="shared" si="3"/>
        <v>Light check - Buy Box %, confirm Business Price/Quantity Discount still active, quick scan of title and main image</v>
      </c>
    </row>
    <row r="25" ht="14.25" customHeight="1">
      <c r="A25" s="10" t="s">
        <v>60</v>
      </c>
      <c r="B25" s="10">
        <v>3.0</v>
      </c>
      <c r="C25" s="10">
        <v>6.0</v>
      </c>
      <c r="D25" s="10">
        <v>0.0</v>
      </c>
      <c r="E25" s="10">
        <v>0.0</v>
      </c>
      <c r="F25" s="10">
        <v>0.0</v>
      </c>
      <c r="G25" s="10">
        <v>0.0</v>
      </c>
      <c r="H25" s="14">
        <v>0.9286</v>
      </c>
      <c r="I25" s="7">
        <f t="shared" si="1"/>
        <v>-3</v>
      </c>
      <c r="J25" s="10" t="str">
        <f>IF(MAX(B25,E25)&gt;=Thresholds!$C$7,"Tier 3 - High",IF(MAX(B25,E25)&gt;=Thresholds!$C$6,"Tier 2 - Moderate","Tier 1 - Low"))</f>
        <v>Tier 1 - Low</v>
      </c>
      <c r="K25" s="7" t="str">
        <f t="shared" si="2"/>
        <v>Low Volume - Setup Needed</v>
      </c>
      <c r="L25" s="10" t="str">
        <f t="shared" si="3"/>
        <v>Low/no B2B traffic yet - set a Business Price (5-10% below retail) and Quantity Discount tiers (e.g. 5+ units 5% off, 10+ units 10% off) to attract first B2B interest; add bulk/case-pack info to title and bullets</v>
      </c>
    </row>
    <row r="26" ht="14.25" customHeight="1">
      <c r="A26" s="10" t="s">
        <v>61</v>
      </c>
      <c r="B26" s="10">
        <v>3.0</v>
      </c>
      <c r="C26" s="10">
        <v>7.0</v>
      </c>
      <c r="D26" s="10">
        <v>0.0</v>
      </c>
      <c r="E26" s="10">
        <v>0.0</v>
      </c>
      <c r="F26" s="10">
        <v>0.0</v>
      </c>
      <c r="G26" s="10">
        <v>0.0</v>
      </c>
      <c r="H26" s="14">
        <v>0.9655</v>
      </c>
      <c r="I26" s="7">
        <f t="shared" si="1"/>
        <v>-3</v>
      </c>
      <c r="J26" s="10" t="str">
        <f>IF(MAX(B26,E26)&gt;=Thresholds!$C$7,"Tier 3 - High",IF(MAX(B26,E26)&gt;=Thresholds!$C$6,"Tier 2 - Moderate","Tier 1 - Low"))</f>
        <v>Tier 1 - Low</v>
      </c>
      <c r="K26" s="7" t="str">
        <f t="shared" si="2"/>
        <v>Low Volume - Setup Needed</v>
      </c>
      <c r="L26" s="10" t="str">
        <f t="shared" si="3"/>
        <v>Low/no B2B traffic yet - set a Business Price (5-10% below retail) and Quantity Discount tiers (e.g. 5+ units 5% off, 10+ units 10% off) to attract first B2B interest; add bulk/case-pack info to title and bullets</v>
      </c>
    </row>
    <row r="27" ht="14.25" customHeight="1">
      <c r="A27" s="10" t="s">
        <v>62</v>
      </c>
      <c r="B27" s="10">
        <v>3.0</v>
      </c>
      <c r="C27" s="10">
        <v>3.0</v>
      </c>
      <c r="D27" s="10">
        <v>1.0</v>
      </c>
      <c r="E27" s="10">
        <v>0.0</v>
      </c>
      <c r="F27" s="10">
        <v>0.0</v>
      </c>
      <c r="G27" s="10">
        <v>0.0</v>
      </c>
      <c r="H27" s="14">
        <v>1.0</v>
      </c>
      <c r="I27" s="7">
        <f t="shared" si="1"/>
        <v>-3</v>
      </c>
      <c r="J27" s="10" t="str">
        <f>IF(MAX(B27,E27)&gt;=Thresholds!$C$7,"Tier 3 - High",IF(MAX(B27,E27)&gt;=Thresholds!$C$6,"Tier 2 - Moderate","Tier 1 - Low"))</f>
        <v>Tier 1 - Low</v>
      </c>
      <c r="K27" s="7" t="str">
        <f t="shared" si="2"/>
        <v>Low Volume - Setup Needed</v>
      </c>
      <c r="L27" s="10" t="str">
        <f t="shared" si="3"/>
        <v>Low/no B2B traffic yet - set a Business Price (5-10% below retail) and Quantity Discount tiers (e.g. 5+ units 5% off, 10+ units 10% off) to attract first B2B interest; add bulk/case-pack info to title and bullets</v>
      </c>
    </row>
    <row r="28" ht="14.25" customHeight="1">
      <c r="A28" s="10" t="s">
        <v>63</v>
      </c>
      <c r="B28" s="10">
        <v>4.0</v>
      </c>
      <c r="C28" s="10">
        <v>5.0</v>
      </c>
      <c r="D28" s="10">
        <v>1.0</v>
      </c>
      <c r="E28" s="10">
        <v>1.0</v>
      </c>
      <c r="F28" s="10">
        <v>2.0</v>
      </c>
      <c r="G28" s="10">
        <v>0.0</v>
      </c>
      <c r="H28" s="14">
        <v>0.9091</v>
      </c>
      <c r="I28" s="7">
        <f t="shared" si="1"/>
        <v>-3</v>
      </c>
      <c r="J28" s="10" t="str">
        <f>IF(MAX(B28,E28)&gt;=Thresholds!$C$7,"Tier 3 - High",IF(MAX(B28,E28)&gt;=Thresholds!$C$6,"Tier 2 - Moderate","Tier 1 - Low"))</f>
        <v>Tier 1 - Low</v>
      </c>
      <c r="K28" s="7" t="str">
        <f t="shared" si="2"/>
        <v>Low Volume - Setup Needed</v>
      </c>
      <c r="L28" s="10" t="str">
        <f t="shared" si="3"/>
        <v>Low/no B2B traffic yet - set a Business Price (5-10% below retail) and Quantity Discount tiers (e.g. 5+ units 5% off, 10+ units 10% off) to attract first B2B interest; add bulk/case-pack info to title and bullets</v>
      </c>
    </row>
    <row r="29" ht="14.25" customHeight="1">
      <c r="A29" s="10" t="s">
        <v>64</v>
      </c>
      <c r="B29" s="10">
        <v>3.0</v>
      </c>
      <c r="C29" s="10">
        <v>4.0</v>
      </c>
      <c r="D29" s="10">
        <v>0.0</v>
      </c>
      <c r="E29" s="10">
        <v>0.0</v>
      </c>
      <c r="F29" s="10">
        <v>0.0</v>
      </c>
      <c r="G29" s="10">
        <v>0.0</v>
      </c>
      <c r="H29" s="14">
        <v>0.2857</v>
      </c>
      <c r="I29" s="7">
        <f t="shared" si="1"/>
        <v>-3</v>
      </c>
      <c r="J29" s="10" t="str">
        <f>IF(MAX(B29,E29)&gt;=Thresholds!$C$7,"Tier 3 - High",IF(MAX(B29,E29)&gt;=Thresholds!$C$6,"Tier 2 - Moderate","Tier 1 - Low"))</f>
        <v>Tier 1 - Low</v>
      </c>
      <c r="K29" s="7" t="str">
        <f t="shared" si="2"/>
        <v>Low Volume - Setup Needed</v>
      </c>
      <c r="L29" s="10" t="str">
        <f t="shared" si="3"/>
        <v>Low/no B2B traffic yet - set a Business Price (5-10% below retail) and Quantity Discount tiers (e.g. 5+ units 5% off, 10+ units 10% off) to attract first B2B interest; add bulk/case-pack info to title and bullets</v>
      </c>
    </row>
    <row r="30" ht="14.25" customHeight="1">
      <c r="A30" s="10" t="s">
        <v>65</v>
      </c>
      <c r="B30" s="10">
        <v>7.0</v>
      </c>
      <c r="C30" s="10">
        <v>10.0</v>
      </c>
      <c r="D30" s="10">
        <v>1.0</v>
      </c>
      <c r="E30" s="10">
        <v>4.0</v>
      </c>
      <c r="F30" s="10">
        <v>5.0</v>
      </c>
      <c r="G30" s="10">
        <v>0.0</v>
      </c>
      <c r="H30" s="14">
        <v>0.9964</v>
      </c>
      <c r="I30" s="7">
        <f t="shared" si="1"/>
        <v>-3</v>
      </c>
      <c r="J30" s="10" t="str">
        <f>IF(MAX(B30,E30)&gt;=Thresholds!$C$7,"Tier 3 - High",IF(MAX(B30,E30)&gt;=Thresholds!$C$6,"Tier 2 - Moderate","Tier 1 - Low"))</f>
        <v>Tier 2 - Moderate</v>
      </c>
      <c r="K30" s="7" t="str">
        <f t="shared" si="2"/>
        <v>Moderate - Review</v>
      </c>
      <c r="L30" s="10" t="str">
        <f t="shared" si="3"/>
        <v>Light check - Buy Box %, confirm Business Price/Quantity Discount still active, quick scan of title and main image</v>
      </c>
    </row>
    <row r="31" ht="14.25" customHeight="1">
      <c r="A31" s="10" t="s">
        <v>66</v>
      </c>
      <c r="B31" s="10">
        <v>3.0</v>
      </c>
      <c r="C31" s="10">
        <v>3.0</v>
      </c>
      <c r="D31" s="10">
        <v>2.0</v>
      </c>
      <c r="E31" s="10">
        <v>0.0</v>
      </c>
      <c r="F31" s="10">
        <v>0.0</v>
      </c>
      <c r="G31" s="10">
        <v>0.0</v>
      </c>
      <c r="H31" s="14">
        <v>0.0</v>
      </c>
      <c r="I31" s="7">
        <f t="shared" si="1"/>
        <v>-3</v>
      </c>
      <c r="J31" s="10" t="str">
        <f>IF(MAX(B31,E31)&gt;=Thresholds!$C$7,"Tier 3 - High",IF(MAX(B31,E31)&gt;=Thresholds!$C$6,"Tier 2 - Moderate","Tier 1 - Low"))</f>
        <v>Tier 1 - Low</v>
      </c>
      <c r="K31" s="7" t="str">
        <f t="shared" si="2"/>
        <v>Low Volume - Setup Needed</v>
      </c>
      <c r="L31" s="10" t="str">
        <f t="shared" si="3"/>
        <v>Low/no B2B traffic yet - set a Business Price (5-10% below retail) and Quantity Discount tiers (e.g. 5+ units 5% off, 10+ units 10% off) to attract first B2B interest; add bulk/case-pack info to title and bullets</v>
      </c>
    </row>
    <row r="32" ht="14.25" customHeight="1">
      <c r="A32" s="10" t="s">
        <v>67</v>
      </c>
      <c r="B32" s="10">
        <v>4.0</v>
      </c>
      <c r="C32" s="10">
        <v>4.0</v>
      </c>
      <c r="D32" s="10">
        <v>0.0</v>
      </c>
      <c r="E32" s="10">
        <v>1.0</v>
      </c>
      <c r="F32" s="10">
        <v>1.0</v>
      </c>
      <c r="G32" s="10">
        <v>0.0</v>
      </c>
      <c r="H32" s="14">
        <v>0.9811</v>
      </c>
      <c r="I32" s="7">
        <f t="shared" si="1"/>
        <v>-3</v>
      </c>
      <c r="J32" s="10" t="str">
        <f>IF(MAX(B32,E32)&gt;=Thresholds!$C$7,"Tier 3 - High",IF(MAX(B32,E32)&gt;=Thresholds!$C$6,"Tier 2 - Moderate","Tier 1 - Low"))</f>
        <v>Tier 1 - Low</v>
      </c>
      <c r="K32" s="7" t="str">
        <f t="shared" si="2"/>
        <v>Low Volume - Setup Needed</v>
      </c>
      <c r="L32" s="10" t="str">
        <f t="shared" si="3"/>
        <v>Low/no B2B traffic yet - set a Business Price (5-10% below retail) and Quantity Discount tiers (e.g. 5+ units 5% off, 10+ units 10% off) to attract first B2B interest; add bulk/case-pack info to title and bullets</v>
      </c>
    </row>
    <row r="33" ht="14.25" customHeight="1">
      <c r="A33" s="10" t="s">
        <v>68</v>
      </c>
      <c r="B33" s="10">
        <v>3.0</v>
      </c>
      <c r="C33" s="10">
        <v>6.0</v>
      </c>
      <c r="D33" s="10">
        <v>0.0</v>
      </c>
      <c r="E33" s="10">
        <v>0.0</v>
      </c>
      <c r="F33" s="10">
        <v>0.0</v>
      </c>
      <c r="G33" s="10">
        <v>0.0</v>
      </c>
      <c r="H33" s="14">
        <v>1.0</v>
      </c>
      <c r="I33" s="7">
        <f t="shared" si="1"/>
        <v>-3</v>
      </c>
      <c r="J33" s="10" t="str">
        <f>IF(MAX(B33,E33)&gt;=Thresholds!$C$7,"Tier 3 - High",IF(MAX(B33,E33)&gt;=Thresholds!$C$6,"Tier 2 - Moderate","Tier 1 - Low"))</f>
        <v>Tier 1 - Low</v>
      </c>
      <c r="K33" s="7" t="str">
        <f t="shared" si="2"/>
        <v>Low Volume - Setup Needed</v>
      </c>
      <c r="L33" s="10" t="str">
        <f t="shared" si="3"/>
        <v>Low/no B2B traffic yet - set a Business Price (5-10% below retail) and Quantity Discount tiers (e.g. 5+ units 5% off, 10+ units 10% off) to attract first B2B interest; add bulk/case-pack info to title and bullets</v>
      </c>
    </row>
    <row r="34" ht="14.25" customHeight="1">
      <c r="A34" s="10" t="s">
        <v>69</v>
      </c>
      <c r="B34" s="10">
        <v>3.0</v>
      </c>
      <c r="C34" s="10">
        <v>4.0</v>
      </c>
      <c r="D34" s="10">
        <v>1.0</v>
      </c>
      <c r="E34" s="10">
        <v>0.0</v>
      </c>
      <c r="F34" s="10">
        <v>0.0</v>
      </c>
      <c r="G34" s="10">
        <v>0.0</v>
      </c>
      <c r="H34" s="14">
        <v>1.0</v>
      </c>
      <c r="I34" s="7">
        <f t="shared" si="1"/>
        <v>-3</v>
      </c>
      <c r="J34" s="10" t="str">
        <f>IF(MAX(B34,E34)&gt;=Thresholds!$C$7,"Tier 3 - High",IF(MAX(B34,E34)&gt;=Thresholds!$C$6,"Tier 2 - Moderate","Tier 1 - Low"))</f>
        <v>Tier 1 - Low</v>
      </c>
      <c r="K34" s="7" t="str">
        <f t="shared" si="2"/>
        <v>Low Volume - Setup Needed</v>
      </c>
      <c r="L34" s="10" t="str">
        <f t="shared" si="3"/>
        <v>Low/no B2B traffic yet - set a Business Price (5-10% below retail) and Quantity Discount tiers (e.g. 5+ units 5% off, 10+ units 10% off) to attract first B2B interest; add bulk/case-pack info to title and bullets</v>
      </c>
    </row>
    <row r="35" ht="14.25" customHeight="1">
      <c r="A35" s="10" t="s">
        <v>70</v>
      </c>
      <c r="B35" s="10">
        <v>3.0</v>
      </c>
      <c r="C35" s="10">
        <v>6.0</v>
      </c>
      <c r="D35" s="10">
        <v>0.0</v>
      </c>
      <c r="E35" s="10">
        <v>0.0</v>
      </c>
      <c r="F35" s="10">
        <v>0.0</v>
      </c>
      <c r="G35" s="10">
        <v>0.0</v>
      </c>
      <c r="H35" s="14">
        <v>0.3571</v>
      </c>
      <c r="I35" s="7">
        <f t="shared" si="1"/>
        <v>-3</v>
      </c>
      <c r="J35" s="10" t="str">
        <f>IF(MAX(B35,E35)&gt;=Thresholds!$C$7,"Tier 3 - High",IF(MAX(B35,E35)&gt;=Thresholds!$C$6,"Tier 2 - Moderate","Tier 1 - Low"))</f>
        <v>Tier 1 - Low</v>
      </c>
      <c r="K35" s="7" t="str">
        <f t="shared" si="2"/>
        <v>Low Volume - Setup Needed</v>
      </c>
      <c r="L35" s="10" t="str">
        <f t="shared" si="3"/>
        <v>Low/no B2B traffic yet - set a Business Price (5-10% below retail) and Quantity Discount tiers (e.g. 5+ units 5% off, 10+ units 10% off) to attract first B2B interest; add bulk/case-pack info to title and bullets</v>
      </c>
    </row>
    <row r="36" ht="14.25" customHeight="1">
      <c r="A36" s="10" t="s">
        <v>71</v>
      </c>
      <c r="B36" s="10">
        <v>3.0</v>
      </c>
      <c r="C36" s="10">
        <v>4.0</v>
      </c>
      <c r="D36" s="10">
        <v>0.0</v>
      </c>
      <c r="E36" s="10">
        <v>1.0</v>
      </c>
      <c r="F36" s="10">
        <v>1.0</v>
      </c>
      <c r="G36" s="10">
        <v>0.0</v>
      </c>
      <c r="H36" s="14">
        <v>1.0</v>
      </c>
      <c r="I36" s="7">
        <f t="shared" si="1"/>
        <v>-2</v>
      </c>
      <c r="J36" s="10" t="str">
        <f>IF(MAX(B36,E36)&gt;=Thresholds!$C$7,"Tier 3 - High",IF(MAX(B36,E36)&gt;=Thresholds!$C$6,"Tier 2 - Moderate","Tier 1 - Low"))</f>
        <v>Tier 1 - Low</v>
      </c>
      <c r="K36" s="7" t="str">
        <f t="shared" si="2"/>
        <v>Low Volume - Setup Needed</v>
      </c>
      <c r="L36" s="10" t="str">
        <f t="shared" si="3"/>
        <v>Low/no B2B traffic yet - set a Business Price (5-10% below retail) and Quantity Discount tiers (e.g. 5+ units 5% off, 10+ units 10% off) to attract first B2B interest; add bulk/case-pack info to title and bullets</v>
      </c>
    </row>
    <row r="37" ht="14.25" customHeight="1">
      <c r="A37" s="10" t="s">
        <v>72</v>
      </c>
      <c r="B37" s="10">
        <v>2.0</v>
      </c>
      <c r="C37" s="10">
        <v>2.0</v>
      </c>
      <c r="D37" s="10">
        <v>0.0</v>
      </c>
      <c r="E37" s="10">
        <v>0.0</v>
      </c>
      <c r="F37" s="10">
        <v>0.0</v>
      </c>
      <c r="G37" s="10">
        <v>0.0</v>
      </c>
      <c r="H37" s="14">
        <v>0.9048</v>
      </c>
      <c r="I37" s="7">
        <f t="shared" si="1"/>
        <v>-2</v>
      </c>
      <c r="J37" s="10" t="str">
        <f>IF(MAX(B37,E37)&gt;=Thresholds!$C$7,"Tier 3 - High",IF(MAX(B37,E37)&gt;=Thresholds!$C$6,"Tier 2 - Moderate","Tier 1 - Low"))</f>
        <v>Tier 1 - Low</v>
      </c>
      <c r="K37" s="7" t="str">
        <f t="shared" si="2"/>
        <v>Low Volume - Setup Needed</v>
      </c>
      <c r="L37" s="10" t="str">
        <f t="shared" si="3"/>
        <v>Low/no B2B traffic yet - set a Business Price (5-10% below retail) and Quantity Discount tiers (e.g. 5+ units 5% off, 10+ units 10% off) to attract first B2B interest; add bulk/case-pack info to title and bullets</v>
      </c>
    </row>
    <row r="38" ht="14.25" customHeight="1">
      <c r="A38" s="10" t="s">
        <v>73</v>
      </c>
      <c r="B38" s="10">
        <v>2.0</v>
      </c>
      <c r="C38" s="10">
        <v>4.0</v>
      </c>
      <c r="D38" s="10">
        <v>0.0</v>
      </c>
      <c r="E38" s="10">
        <v>0.0</v>
      </c>
      <c r="F38" s="10">
        <v>0.0</v>
      </c>
      <c r="G38" s="10">
        <v>0.0</v>
      </c>
      <c r="H38" s="14">
        <v>1.0</v>
      </c>
      <c r="I38" s="7">
        <f t="shared" si="1"/>
        <v>-2</v>
      </c>
      <c r="J38" s="10" t="str">
        <f>IF(MAX(B38,E38)&gt;=Thresholds!$C$7,"Tier 3 - High",IF(MAX(B38,E38)&gt;=Thresholds!$C$6,"Tier 2 - Moderate","Tier 1 - Low"))</f>
        <v>Tier 1 - Low</v>
      </c>
      <c r="K38" s="7" t="str">
        <f t="shared" si="2"/>
        <v>Low Volume - Setup Needed</v>
      </c>
      <c r="L38" s="10" t="str">
        <f t="shared" si="3"/>
        <v>Low/no B2B traffic yet - set a Business Price (5-10% below retail) and Quantity Discount tiers (e.g. 5+ units 5% off, 10+ units 10% off) to attract first B2B interest; add bulk/case-pack info to title and bullets</v>
      </c>
    </row>
    <row r="39" ht="14.25" customHeight="1">
      <c r="A39" s="10" t="s">
        <v>74</v>
      </c>
      <c r="B39" s="10">
        <v>2.0</v>
      </c>
      <c r="C39" s="10">
        <v>2.0</v>
      </c>
      <c r="D39" s="10">
        <v>0.0</v>
      </c>
      <c r="E39" s="10">
        <v>0.0</v>
      </c>
      <c r="F39" s="10">
        <v>0.0</v>
      </c>
      <c r="G39" s="10">
        <v>0.0</v>
      </c>
      <c r="H39" s="14">
        <v>1.0</v>
      </c>
      <c r="I39" s="7">
        <f t="shared" si="1"/>
        <v>-2</v>
      </c>
      <c r="J39" s="10" t="str">
        <f>IF(MAX(B39,E39)&gt;=Thresholds!$C$7,"Tier 3 - High",IF(MAX(B39,E39)&gt;=Thresholds!$C$6,"Tier 2 - Moderate","Tier 1 - Low"))</f>
        <v>Tier 1 - Low</v>
      </c>
      <c r="K39" s="7" t="str">
        <f t="shared" si="2"/>
        <v>Low Volume - Setup Needed</v>
      </c>
      <c r="L39" s="10" t="str">
        <f t="shared" si="3"/>
        <v>Low/no B2B traffic yet - set a Business Price (5-10% below retail) and Quantity Discount tiers (e.g. 5+ units 5% off, 10+ units 10% off) to attract first B2B interest; add bulk/case-pack info to title and bullets</v>
      </c>
    </row>
    <row r="40" ht="14.25" customHeight="1">
      <c r="A40" s="10" t="s">
        <v>75</v>
      </c>
      <c r="B40" s="10">
        <v>2.0</v>
      </c>
      <c r="C40" s="10">
        <v>2.0</v>
      </c>
      <c r="D40" s="10">
        <v>0.0</v>
      </c>
      <c r="E40" s="10">
        <v>0.0</v>
      </c>
      <c r="F40" s="10">
        <v>0.0</v>
      </c>
      <c r="G40" s="10">
        <v>0.0</v>
      </c>
      <c r="H40" s="14">
        <v>1.0</v>
      </c>
      <c r="I40" s="7">
        <f t="shared" si="1"/>
        <v>-2</v>
      </c>
      <c r="J40" s="10" t="str">
        <f>IF(MAX(B40,E40)&gt;=Thresholds!$C$7,"Tier 3 - High",IF(MAX(B40,E40)&gt;=Thresholds!$C$6,"Tier 2 - Moderate","Tier 1 - Low"))</f>
        <v>Tier 1 - Low</v>
      </c>
      <c r="K40" s="7" t="str">
        <f t="shared" si="2"/>
        <v>Low Volume - Setup Needed</v>
      </c>
      <c r="L40" s="10" t="str">
        <f t="shared" si="3"/>
        <v>Low/no B2B traffic yet - set a Business Price (5-10% below retail) and Quantity Discount tiers (e.g. 5+ units 5% off, 10+ units 10% off) to attract first B2B interest; add bulk/case-pack info to title and bullets</v>
      </c>
    </row>
    <row r="41" ht="14.25" customHeight="1">
      <c r="A41" s="10" t="s">
        <v>76</v>
      </c>
      <c r="B41" s="10">
        <v>2.0</v>
      </c>
      <c r="C41" s="10">
        <v>2.0</v>
      </c>
      <c r="D41" s="10">
        <v>0.0</v>
      </c>
      <c r="E41" s="10">
        <v>0.0</v>
      </c>
      <c r="F41" s="10">
        <v>0.0</v>
      </c>
      <c r="G41" s="10">
        <v>0.0</v>
      </c>
      <c r="H41" s="14">
        <v>1.0</v>
      </c>
      <c r="I41" s="7">
        <f t="shared" si="1"/>
        <v>-2</v>
      </c>
      <c r="J41" s="10" t="str">
        <f>IF(MAX(B41,E41)&gt;=Thresholds!$C$7,"Tier 3 - High",IF(MAX(B41,E41)&gt;=Thresholds!$C$6,"Tier 2 - Moderate","Tier 1 - Low"))</f>
        <v>Tier 1 - Low</v>
      </c>
      <c r="K41" s="7" t="str">
        <f t="shared" si="2"/>
        <v>Low Volume - Setup Needed</v>
      </c>
      <c r="L41" s="10" t="str">
        <f t="shared" si="3"/>
        <v>Low/no B2B traffic yet - set a Business Price (5-10% below retail) and Quantity Discount tiers (e.g. 5+ units 5% off, 10+ units 10% off) to attract first B2B interest; add bulk/case-pack info to title and bullets</v>
      </c>
    </row>
    <row r="42" ht="14.25" customHeight="1">
      <c r="A42" s="10" t="s">
        <v>77</v>
      </c>
      <c r="B42" s="10">
        <v>2.0</v>
      </c>
      <c r="C42" s="10">
        <v>2.0</v>
      </c>
      <c r="D42" s="10">
        <v>0.0</v>
      </c>
      <c r="E42" s="10">
        <v>0.0</v>
      </c>
      <c r="F42" s="10">
        <v>0.0</v>
      </c>
      <c r="G42" s="10">
        <v>0.0</v>
      </c>
      <c r="H42" s="14">
        <v>1.0</v>
      </c>
      <c r="I42" s="7">
        <f t="shared" si="1"/>
        <v>-2</v>
      </c>
      <c r="J42" s="10" t="str">
        <f>IF(MAX(B42,E42)&gt;=Thresholds!$C$7,"Tier 3 - High",IF(MAX(B42,E42)&gt;=Thresholds!$C$6,"Tier 2 - Moderate","Tier 1 - Low"))</f>
        <v>Tier 1 - Low</v>
      </c>
      <c r="K42" s="7" t="str">
        <f t="shared" si="2"/>
        <v>Low Volume - Setup Needed</v>
      </c>
      <c r="L42" s="10" t="str">
        <f t="shared" si="3"/>
        <v>Low/no B2B traffic yet - set a Business Price (5-10% below retail) and Quantity Discount tiers (e.g. 5+ units 5% off, 10+ units 10% off) to attract first B2B interest; add bulk/case-pack info to title and bullets</v>
      </c>
    </row>
    <row r="43" ht="14.25" customHeight="1">
      <c r="A43" s="10" t="s">
        <v>78</v>
      </c>
      <c r="B43" s="10">
        <v>3.0</v>
      </c>
      <c r="C43" s="10">
        <v>5.0</v>
      </c>
      <c r="D43" s="10">
        <v>0.0</v>
      </c>
      <c r="E43" s="10">
        <v>1.0</v>
      </c>
      <c r="F43" s="10">
        <v>1.0</v>
      </c>
      <c r="G43" s="10">
        <v>0.0</v>
      </c>
      <c r="H43" s="14">
        <v>0.9677</v>
      </c>
      <c r="I43" s="7">
        <f t="shared" si="1"/>
        <v>-2</v>
      </c>
      <c r="J43" s="10" t="str">
        <f>IF(MAX(B43,E43)&gt;=Thresholds!$C$7,"Tier 3 - High",IF(MAX(B43,E43)&gt;=Thresholds!$C$6,"Tier 2 - Moderate","Tier 1 - Low"))</f>
        <v>Tier 1 - Low</v>
      </c>
      <c r="K43" s="7" t="str">
        <f t="shared" si="2"/>
        <v>Low Volume - Setup Needed</v>
      </c>
      <c r="L43" s="10" t="str">
        <f t="shared" si="3"/>
        <v>Low/no B2B traffic yet - set a Business Price (5-10% below retail) and Quantity Discount tiers (e.g. 5+ units 5% off, 10+ units 10% off) to attract first B2B interest; add bulk/case-pack info to title and bullets</v>
      </c>
    </row>
    <row r="44" ht="14.25" customHeight="1">
      <c r="A44" s="10" t="s">
        <v>79</v>
      </c>
      <c r="B44" s="10">
        <v>2.0</v>
      </c>
      <c r="C44" s="10">
        <v>2.0</v>
      </c>
      <c r="D44" s="10">
        <v>3.0</v>
      </c>
      <c r="E44" s="10">
        <v>0.0</v>
      </c>
      <c r="F44" s="10">
        <v>0.0</v>
      </c>
      <c r="G44" s="10">
        <v>0.0</v>
      </c>
      <c r="H44" s="14">
        <v>0.0</v>
      </c>
      <c r="I44" s="7">
        <f t="shared" si="1"/>
        <v>-2</v>
      </c>
      <c r="J44" s="10" t="str">
        <f>IF(MAX(B44,E44)&gt;=Thresholds!$C$7,"Tier 3 - High",IF(MAX(B44,E44)&gt;=Thresholds!$C$6,"Tier 2 - Moderate","Tier 1 - Low"))</f>
        <v>Tier 1 - Low</v>
      </c>
      <c r="K44" s="7" t="str">
        <f t="shared" si="2"/>
        <v>Low Volume - Setup Needed</v>
      </c>
      <c r="L44" s="10" t="str">
        <f t="shared" si="3"/>
        <v>Low/no B2B traffic yet - set a Business Price (5-10% below retail) and Quantity Discount tiers (e.g. 5+ units 5% off, 10+ units 10% off) to attract first B2B interest; add bulk/case-pack info to title and bullets</v>
      </c>
    </row>
    <row r="45" ht="14.25" customHeight="1">
      <c r="A45" s="10" t="s">
        <v>80</v>
      </c>
      <c r="B45" s="10">
        <v>2.0</v>
      </c>
      <c r="C45" s="10">
        <v>3.0</v>
      </c>
      <c r="D45" s="10">
        <v>0.0</v>
      </c>
      <c r="E45" s="10">
        <v>0.0</v>
      </c>
      <c r="F45" s="10">
        <v>0.0</v>
      </c>
      <c r="G45" s="10">
        <v>0.0</v>
      </c>
      <c r="H45" s="14">
        <v>0.96</v>
      </c>
      <c r="I45" s="7">
        <f t="shared" si="1"/>
        <v>-2</v>
      </c>
      <c r="J45" s="10" t="str">
        <f>IF(MAX(B45,E45)&gt;=Thresholds!$C$7,"Tier 3 - High",IF(MAX(B45,E45)&gt;=Thresholds!$C$6,"Tier 2 - Moderate","Tier 1 - Low"))</f>
        <v>Tier 1 - Low</v>
      </c>
      <c r="K45" s="7" t="str">
        <f t="shared" si="2"/>
        <v>Low Volume - Setup Needed</v>
      </c>
      <c r="L45" s="10" t="str">
        <f t="shared" si="3"/>
        <v>Low/no B2B traffic yet - set a Business Price (5-10% below retail) and Quantity Discount tiers (e.g. 5+ units 5% off, 10+ units 10% off) to attract first B2B interest; add bulk/case-pack info to title and bullets</v>
      </c>
    </row>
    <row r="46" ht="14.25" customHeight="1">
      <c r="A46" s="10" t="s">
        <v>81</v>
      </c>
      <c r="B46" s="10">
        <v>2.0</v>
      </c>
      <c r="C46" s="10">
        <v>2.0</v>
      </c>
      <c r="D46" s="10">
        <v>0.0</v>
      </c>
      <c r="E46" s="10">
        <v>0.0</v>
      </c>
      <c r="F46" s="10">
        <v>0.0</v>
      </c>
      <c r="G46" s="10">
        <v>0.0</v>
      </c>
      <c r="H46" s="14">
        <v>0.9474</v>
      </c>
      <c r="I46" s="7">
        <f t="shared" si="1"/>
        <v>-2</v>
      </c>
      <c r="J46" s="10" t="str">
        <f>IF(MAX(B46,E46)&gt;=Thresholds!$C$7,"Tier 3 - High",IF(MAX(B46,E46)&gt;=Thresholds!$C$6,"Tier 2 - Moderate","Tier 1 - Low"))</f>
        <v>Tier 1 - Low</v>
      </c>
      <c r="K46" s="7" t="str">
        <f t="shared" si="2"/>
        <v>Low Volume - Setup Needed</v>
      </c>
      <c r="L46" s="10" t="str">
        <f t="shared" si="3"/>
        <v>Low/no B2B traffic yet - set a Business Price (5-10% below retail) and Quantity Discount tiers (e.g. 5+ units 5% off, 10+ units 10% off) to attract first B2B interest; add bulk/case-pack info to title and bullets</v>
      </c>
    </row>
    <row r="47" ht="14.25" customHeight="1">
      <c r="A47" s="10" t="s">
        <v>82</v>
      </c>
      <c r="B47" s="10">
        <v>3.0</v>
      </c>
      <c r="C47" s="10">
        <v>3.0</v>
      </c>
      <c r="D47" s="10">
        <v>0.0</v>
      </c>
      <c r="E47" s="10">
        <v>1.0</v>
      </c>
      <c r="F47" s="10">
        <v>1.0</v>
      </c>
      <c r="G47" s="10">
        <v>1.0</v>
      </c>
      <c r="H47" s="14">
        <v>1.0</v>
      </c>
      <c r="I47" s="7">
        <f t="shared" si="1"/>
        <v>-2</v>
      </c>
      <c r="J47" s="10" t="str">
        <f>IF(MAX(B47,E47)&gt;=Thresholds!$C$7,"Tier 3 - High",IF(MAX(B47,E47)&gt;=Thresholds!$C$6,"Tier 2 - Moderate","Tier 1 - Low"))</f>
        <v>Tier 1 - Low</v>
      </c>
      <c r="K47" s="7" t="str">
        <f t="shared" si="2"/>
        <v>Low Volume - Setup Needed</v>
      </c>
      <c r="L47" s="10" t="str">
        <f t="shared" si="3"/>
        <v>Low/no B2B traffic yet - set a Business Price (5-10% below retail) and Quantity Discount tiers (e.g. 5+ units 5% off, 10+ units 10% off) to attract first B2B interest; add bulk/case-pack info to title and bullets</v>
      </c>
    </row>
    <row r="48" ht="14.25" customHeight="1">
      <c r="A48" s="10" t="s">
        <v>83</v>
      </c>
      <c r="B48" s="10">
        <v>3.0</v>
      </c>
      <c r="C48" s="10">
        <v>3.0</v>
      </c>
      <c r="D48" s="10">
        <v>0.0</v>
      </c>
      <c r="E48" s="10">
        <v>1.0</v>
      </c>
      <c r="F48" s="10">
        <v>1.0</v>
      </c>
      <c r="G48" s="10">
        <v>0.0</v>
      </c>
      <c r="H48" s="14">
        <v>0.9375</v>
      </c>
      <c r="I48" s="7">
        <f t="shared" si="1"/>
        <v>-2</v>
      </c>
      <c r="J48" s="10" t="str">
        <f>IF(MAX(B48,E48)&gt;=Thresholds!$C$7,"Tier 3 - High",IF(MAX(B48,E48)&gt;=Thresholds!$C$6,"Tier 2 - Moderate","Tier 1 - Low"))</f>
        <v>Tier 1 - Low</v>
      </c>
      <c r="K48" s="7" t="str">
        <f t="shared" si="2"/>
        <v>Low Volume - Setup Needed</v>
      </c>
      <c r="L48" s="10" t="str">
        <f t="shared" si="3"/>
        <v>Low/no B2B traffic yet - set a Business Price (5-10% below retail) and Quantity Discount tiers (e.g. 5+ units 5% off, 10+ units 10% off) to attract first B2B interest; add bulk/case-pack info to title and bullets</v>
      </c>
    </row>
    <row r="49" ht="14.25" customHeight="1">
      <c r="A49" s="10" t="s">
        <v>84</v>
      </c>
      <c r="B49" s="10">
        <v>2.0</v>
      </c>
      <c r="C49" s="10">
        <v>2.0</v>
      </c>
      <c r="D49" s="10">
        <v>0.0</v>
      </c>
      <c r="E49" s="10">
        <v>0.0</v>
      </c>
      <c r="F49" s="10">
        <v>0.0</v>
      </c>
      <c r="G49" s="10">
        <v>0.0</v>
      </c>
      <c r="H49" s="14">
        <v>1.0</v>
      </c>
      <c r="I49" s="7">
        <f t="shared" si="1"/>
        <v>-2</v>
      </c>
      <c r="J49" s="10" t="str">
        <f>IF(MAX(B49,E49)&gt;=Thresholds!$C$7,"Tier 3 - High",IF(MAX(B49,E49)&gt;=Thresholds!$C$6,"Tier 2 - Moderate","Tier 1 - Low"))</f>
        <v>Tier 1 - Low</v>
      </c>
      <c r="K49" s="7" t="str">
        <f t="shared" si="2"/>
        <v>Low Volume - Setup Needed</v>
      </c>
      <c r="L49" s="10" t="str">
        <f t="shared" si="3"/>
        <v>Low/no B2B traffic yet - set a Business Price (5-10% below retail) and Quantity Discount tiers (e.g. 5+ units 5% off, 10+ units 10% off) to attract first B2B interest; add bulk/case-pack info to title and bullets</v>
      </c>
    </row>
    <row r="50" ht="14.25" customHeight="1">
      <c r="A50" s="10" t="s">
        <v>85</v>
      </c>
      <c r="B50" s="10">
        <v>2.0</v>
      </c>
      <c r="C50" s="10">
        <v>2.0</v>
      </c>
      <c r="D50" s="10">
        <v>0.0</v>
      </c>
      <c r="E50" s="10">
        <v>0.0</v>
      </c>
      <c r="F50" s="10">
        <v>0.0</v>
      </c>
      <c r="G50" s="10">
        <v>0.0</v>
      </c>
      <c r="H50" s="14">
        <v>0.9615</v>
      </c>
      <c r="I50" s="7">
        <f t="shared" si="1"/>
        <v>-2</v>
      </c>
      <c r="J50" s="10" t="str">
        <f>IF(MAX(B50,E50)&gt;=Thresholds!$C$7,"Tier 3 - High",IF(MAX(B50,E50)&gt;=Thresholds!$C$6,"Tier 2 - Moderate","Tier 1 - Low"))</f>
        <v>Tier 1 - Low</v>
      </c>
      <c r="K50" s="7" t="str">
        <f t="shared" si="2"/>
        <v>Low Volume - Setup Needed</v>
      </c>
      <c r="L50" s="10" t="str">
        <f t="shared" si="3"/>
        <v>Low/no B2B traffic yet - set a Business Price (5-10% below retail) and Quantity Discount tiers (e.g. 5+ units 5% off, 10+ units 10% off) to attract first B2B interest; add bulk/case-pack info to title and bullets</v>
      </c>
    </row>
    <row r="51" ht="14.25" customHeight="1">
      <c r="A51" s="10" t="s">
        <v>86</v>
      </c>
      <c r="B51" s="10">
        <v>2.0</v>
      </c>
      <c r="C51" s="10">
        <v>2.0</v>
      </c>
      <c r="D51" s="10">
        <v>0.0</v>
      </c>
      <c r="E51" s="10">
        <v>0.0</v>
      </c>
      <c r="F51" s="10">
        <v>0.0</v>
      </c>
      <c r="G51" s="10">
        <v>0.0</v>
      </c>
      <c r="H51" s="14">
        <v>0.875</v>
      </c>
      <c r="I51" s="7">
        <f t="shared" si="1"/>
        <v>-2</v>
      </c>
      <c r="J51" s="10" t="str">
        <f>IF(MAX(B51,E51)&gt;=Thresholds!$C$7,"Tier 3 - High",IF(MAX(B51,E51)&gt;=Thresholds!$C$6,"Tier 2 - Moderate","Tier 1 - Low"))</f>
        <v>Tier 1 - Low</v>
      </c>
      <c r="K51" s="7" t="str">
        <f t="shared" si="2"/>
        <v>Low Volume - Setup Needed</v>
      </c>
      <c r="L51" s="10" t="str">
        <f t="shared" si="3"/>
        <v>Low/no B2B traffic yet - set a Business Price (5-10% below retail) and Quantity Discount tiers (e.g. 5+ units 5% off, 10+ units 10% off) to attract first B2B interest; add bulk/case-pack info to title and bullets</v>
      </c>
    </row>
    <row r="52" ht="14.25" customHeight="1">
      <c r="A52" s="10" t="s">
        <v>87</v>
      </c>
      <c r="B52" s="10">
        <v>2.0</v>
      </c>
      <c r="C52" s="10">
        <v>2.0</v>
      </c>
      <c r="D52" s="10">
        <v>0.0</v>
      </c>
      <c r="E52" s="10">
        <v>0.0</v>
      </c>
      <c r="F52" s="10">
        <v>0.0</v>
      </c>
      <c r="G52" s="10">
        <v>0.0</v>
      </c>
      <c r="H52" s="14">
        <v>1.0</v>
      </c>
      <c r="I52" s="7">
        <f t="shared" si="1"/>
        <v>-2</v>
      </c>
      <c r="J52" s="10" t="str">
        <f>IF(MAX(B52,E52)&gt;=Thresholds!$C$7,"Tier 3 - High",IF(MAX(B52,E52)&gt;=Thresholds!$C$6,"Tier 2 - Moderate","Tier 1 - Low"))</f>
        <v>Tier 1 - Low</v>
      </c>
      <c r="K52" s="7" t="str">
        <f t="shared" si="2"/>
        <v>Low Volume - Setup Needed</v>
      </c>
      <c r="L52" s="10" t="str">
        <f t="shared" si="3"/>
        <v>Low/no B2B traffic yet - set a Business Price (5-10% below retail) and Quantity Discount tiers (e.g. 5+ units 5% off, 10+ units 10% off) to attract first B2B interest; add bulk/case-pack info to title and bullets</v>
      </c>
    </row>
    <row r="53" ht="14.25" customHeight="1">
      <c r="A53" s="10" t="s">
        <v>88</v>
      </c>
      <c r="B53" s="10">
        <v>3.0</v>
      </c>
      <c r="C53" s="10">
        <v>5.0</v>
      </c>
      <c r="D53" s="10">
        <v>0.0</v>
      </c>
      <c r="E53" s="10">
        <v>1.0</v>
      </c>
      <c r="F53" s="10">
        <v>1.0</v>
      </c>
      <c r="G53" s="10">
        <v>0.0</v>
      </c>
      <c r="H53" s="14">
        <v>0.9688</v>
      </c>
      <c r="I53" s="7">
        <f t="shared" si="1"/>
        <v>-2</v>
      </c>
      <c r="J53" s="10" t="str">
        <f>IF(MAX(B53,E53)&gt;=Thresholds!$C$7,"Tier 3 - High",IF(MAX(B53,E53)&gt;=Thresholds!$C$6,"Tier 2 - Moderate","Tier 1 - Low"))</f>
        <v>Tier 1 - Low</v>
      </c>
      <c r="K53" s="7" t="str">
        <f t="shared" si="2"/>
        <v>Low Volume - Setup Needed</v>
      </c>
      <c r="L53" s="10" t="str">
        <f t="shared" si="3"/>
        <v>Low/no B2B traffic yet - set a Business Price (5-10% below retail) and Quantity Discount tiers (e.g. 5+ units 5% off, 10+ units 10% off) to attract first B2B interest; add bulk/case-pack info to title and bullets</v>
      </c>
    </row>
    <row r="54" ht="14.25" customHeight="1">
      <c r="A54" s="10" t="s">
        <v>89</v>
      </c>
      <c r="B54" s="10">
        <v>2.0</v>
      </c>
      <c r="C54" s="10">
        <v>2.0</v>
      </c>
      <c r="D54" s="10">
        <v>0.0</v>
      </c>
      <c r="E54" s="10">
        <v>0.0</v>
      </c>
      <c r="F54" s="10">
        <v>0.0</v>
      </c>
      <c r="G54" s="10">
        <v>0.0</v>
      </c>
      <c r="H54" s="14">
        <v>0.9821</v>
      </c>
      <c r="I54" s="7">
        <f t="shared" si="1"/>
        <v>-2</v>
      </c>
      <c r="J54" s="10" t="str">
        <f>IF(MAX(B54,E54)&gt;=Thresholds!$C$7,"Tier 3 - High",IF(MAX(B54,E54)&gt;=Thresholds!$C$6,"Tier 2 - Moderate","Tier 1 - Low"))</f>
        <v>Tier 1 - Low</v>
      </c>
      <c r="K54" s="7" t="str">
        <f t="shared" si="2"/>
        <v>Low Volume - Setup Needed</v>
      </c>
      <c r="L54" s="10" t="str">
        <f t="shared" si="3"/>
        <v>Low/no B2B traffic yet - set a Business Price (5-10% below retail) and Quantity Discount tiers (e.g. 5+ units 5% off, 10+ units 10% off) to attract first B2B interest; add bulk/case-pack info to title and bullets</v>
      </c>
    </row>
    <row r="55" ht="14.25" customHeight="1">
      <c r="A55" s="10" t="s">
        <v>90</v>
      </c>
      <c r="B55" s="10">
        <v>2.0</v>
      </c>
      <c r="C55" s="10">
        <v>2.0</v>
      </c>
      <c r="D55" s="10">
        <v>0.0</v>
      </c>
      <c r="E55" s="10">
        <v>0.0</v>
      </c>
      <c r="F55" s="10">
        <v>0.0</v>
      </c>
      <c r="G55" s="10">
        <v>0.0</v>
      </c>
      <c r="H55" s="14">
        <v>1.0</v>
      </c>
      <c r="I55" s="7">
        <f t="shared" si="1"/>
        <v>-2</v>
      </c>
      <c r="J55" s="10" t="str">
        <f>IF(MAX(B55,E55)&gt;=Thresholds!$C$7,"Tier 3 - High",IF(MAX(B55,E55)&gt;=Thresholds!$C$6,"Tier 2 - Moderate","Tier 1 - Low"))</f>
        <v>Tier 1 - Low</v>
      </c>
      <c r="K55" s="7" t="str">
        <f t="shared" si="2"/>
        <v>Low Volume - Setup Needed</v>
      </c>
      <c r="L55" s="10" t="str">
        <f t="shared" si="3"/>
        <v>Low/no B2B traffic yet - set a Business Price (5-10% below retail) and Quantity Discount tiers (e.g. 5+ units 5% off, 10+ units 10% off) to attract first B2B interest; add bulk/case-pack info to title and bullets</v>
      </c>
    </row>
    <row r="56" ht="14.25" customHeight="1">
      <c r="A56" s="10" t="s">
        <v>91</v>
      </c>
      <c r="B56" s="10">
        <v>2.0</v>
      </c>
      <c r="C56" s="10">
        <v>2.0</v>
      </c>
      <c r="D56" s="10">
        <v>1.0</v>
      </c>
      <c r="E56" s="10">
        <v>0.0</v>
      </c>
      <c r="F56" s="10">
        <v>0.0</v>
      </c>
      <c r="G56" s="10">
        <v>0.0</v>
      </c>
      <c r="H56" s="14">
        <v>0.0</v>
      </c>
      <c r="I56" s="7">
        <f t="shared" si="1"/>
        <v>-2</v>
      </c>
      <c r="J56" s="10" t="str">
        <f>IF(MAX(B56,E56)&gt;=Thresholds!$C$7,"Tier 3 - High",IF(MAX(B56,E56)&gt;=Thresholds!$C$6,"Tier 2 - Moderate","Tier 1 - Low"))</f>
        <v>Tier 1 - Low</v>
      </c>
      <c r="K56" s="7" t="str">
        <f t="shared" si="2"/>
        <v>Low Volume - Setup Needed</v>
      </c>
      <c r="L56" s="10" t="str">
        <f t="shared" si="3"/>
        <v>Low/no B2B traffic yet - set a Business Price (5-10% below retail) and Quantity Discount tiers (e.g. 5+ units 5% off, 10+ units 10% off) to attract first B2B interest; add bulk/case-pack info to title and bullets</v>
      </c>
    </row>
    <row r="57" ht="14.25" customHeight="1">
      <c r="A57" s="10" t="s">
        <v>92</v>
      </c>
      <c r="B57" s="10">
        <v>2.0</v>
      </c>
      <c r="C57" s="10">
        <v>2.0</v>
      </c>
      <c r="D57" s="10">
        <v>0.0</v>
      </c>
      <c r="E57" s="10">
        <v>0.0</v>
      </c>
      <c r="F57" s="10">
        <v>0.0</v>
      </c>
      <c r="G57" s="10">
        <v>0.0</v>
      </c>
      <c r="H57" s="14">
        <v>0.8491</v>
      </c>
      <c r="I57" s="7">
        <f t="shared" si="1"/>
        <v>-2</v>
      </c>
      <c r="J57" s="10" t="str">
        <f>IF(MAX(B57,E57)&gt;=Thresholds!$C$7,"Tier 3 - High",IF(MAX(B57,E57)&gt;=Thresholds!$C$6,"Tier 2 - Moderate","Tier 1 - Low"))</f>
        <v>Tier 1 - Low</v>
      </c>
      <c r="K57" s="7" t="str">
        <f t="shared" si="2"/>
        <v>Low Volume - Setup Needed</v>
      </c>
      <c r="L57" s="10" t="str">
        <f t="shared" si="3"/>
        <v>Low/no B2B traffic yet - set a Business Price (5-10% below retail) and Quantity Discount tiers (e.g. 5+ units 5% off, 10+ units 10% off) to attract first B2B interest; add bulk/case-pack info to title and bullets</v>
      </c>
    </row>
    <row r="58" ht="14.25" customHeight="1">
      <c r="A58" s="10" t="s">
        <v>93</v>
      </c>
      <c r="B58" s="10">
        <v>2.0</v>
      </c>
      <c r="C58" s="10">
        <v>2.0</v>
      </c>
      <c r="D58" s="10">
        <v>0.0</v>
      </c>
      <c r="E58" s="10">
        <v>0.0</v>
      </c>
      <c r="F58" s="10">
        <v>0.0</v>
      </c>
      <c r="G58" s="10">
        <v>0.0</v>
      </c>
      <c r="H58" s="14">
        <v>0.0</v>
      </c>
      <c r="I58" s="7">
        <f t="shared" si="1"/>
        <v>-2</v>
      </c>
      <c r="J58" s="10" t="str">
        <f>IF(MAX(B58,E58)&gt;=Thresholds!$C$7,"Tier 3 - High",IF(MAX(B58,E58)&gt;=Thresholds!$C$6,"Tier 2 - Moderate","Tier 1 - Low"))</f>
        <v>Tier 1 - Low</v>
      </c>
      <c r="K58" s="7" t="str">
        <f t="shared" si="2"/>
        <v>Low Volume - Setup Needed</v>
      </c>
      <c r="L58" s="10" t="str">
        <f t="shared" si="3"/>
        <v>Low/no B2B traffic yet - set a Business Price (5-10% below retail) and Quantity Discount tiers (e.g. 5+ units 5% off, 10+ units 10% off) to attract first B2B interest; add bulk/case-pack info to title and bullets</v>
      </c>
    </row>
    <row r="59" ht="14.25" customHeight="1">
      <c r="A59" s="10" t="s">
        <v>94</v>
      </c>
      <c r="B59" s="10">
        <v>2.0</v>
      </c>
      <c r="C59" s="10">
        <v>2.0</v>
      </c>
      <c r="D59" s="10">
        <v>0.0</v>
      </c>
      <c r="E59" s="10">
        <v>0.0</v>
      </c>
      <c r="F59" s="10">
        <v>0.0</v>
      </c>
      <c r="G59" s="10">
        <v>0.0</v>
      </c>
      <c r="H59" s="14">
        <v>0.913</v>
      </c>
      <c r="I59" s="7">
        <f t="shared" si="1"/>
        <v>-2</v>
      </c>
      <c r="J59" s="10" t="str">
        <f>IF(MAX(B59,E59)&gt;=Thresholds!$C$7,"Tier 3 - High",IF(MAX(B59,E59)&gt;=Thresholds!$C$6,"Tier 2 - Moderate","Tier 1 - Low"))</f>
        <v>Tier 1 - Low</v>
      </c>
      <c r="K59" s="7" t="str">
        <f t="shared" si="2"/>
        <v>Low Volume - Setup Needed</v>
      </c>
      <c r="L59" s="10" t="str">
        <f t="shared" si="3"/>
        <v>Low/no B2B traffic yet - set a Business Price (5-10% below retail) and Quantity Discount tiers (e.g. 5+ units 5% off, 10+ units 10% off) to attract first B2B interest; add bulk/case-pack info to title and bullets</v>
      </c>
    </row>
    <row r="60" ht="14.25" customHeight="1">
      <c r="A60" s="10" t="s">
        <v>95</v>
      </c>
      <c r="B60" s="10">
        <v>3.0</v>
      </c>
      <c r="C60" s="10">
        <v>4.0</v>
      </c>
      <c r="D60" s="10">
        <v>0.0</v>
      </c>
      <c r="E60" s="10">
        <v>1.0</v>
      </c>
      <c r="F60" s="10">
        <v>2.0</v>
      </c>
      <c r="G60" s="10">
        <v>0.0</v>
      </c>
      <c r="H60" s="14">
        <v>1.0</v>
      </c>
      <c r="I60" s="7">
        <f t="shared" si="1"/>
        <v>-2</v>
      </c>
      <c r="J60" s="10" t="str">
        <f>IF(MAX(B60,E60)&gt;=Thresholds!$C$7,"Tier 3 - High",IF(MAX(B60,E60)&gt;=Thresholds!$C$6,"Tier 2 - Moderate","Tier 1 - Low"))</f>
        <v>Tier 1 - Low</v>
      </c>
      <c r="K60" s="7" t="str">
        <f t="shared" si="2"/>
        <v>Low Volume - Setup Needed</v>
      </c>
      <c r="L60" s="10" t="str">
        <f t="shared" si="3"/>
        <v>Low/no B2B traffic yet - set a Business Price (5-10% below retail) and Quantity Discount tiers (e.g. 5+ units 5% off, 10+ units 10% off) to attract first B2B interest; add bulk/case-pack info to title and bullets</v>
      </c>
    </row>
    <row r="61" ht="14.25" customHeight="1">
      <c r="A61" s="10" t="s">
        <v>96</v>
      </c>
      <c r="B61" s="10">
        <v>2.0</v>
      </c>
      <c r="C61" s="10">
        <v>4.0</v>
      </c>
      <c r="D61" s="10">
        <v>0.0</v>
      </c>
      <c r="E61" s="10">
        <v>0.0</v>
      </c>
      <c r="F61" s="10">
        <v>0.0</v>
      </c>
      <c r="G61" s="10">
        <v>0.0</v>
      </c>
      <c r="H61" s="14">
        <v>1.0</v>
      </c>
      <c r="I61" s="7">
        <f t="shared" si="1"/>
        <v>-2</v>
      </c>
      <c r="J61" s="10" t="str">
        <f>IF(MAX(B61,E61)&gt;=Thresholds!$C$7,"Tier 3 - High",IF(MAX(B61,E61)&gt;=Thresholds!$C$6,"Tier 2 - Moderate","Tier 1 - Low"))</f>
        <v>Tier 1 - Low</v>
      </c>
      <c r="K61" s="7" t="str">
        <f t="shared" si="2"/>
        <v>Low Volume - Setup Needed</v>
      </c>
      <c r="L61" s="10" t="str">
        <f t="shared" si="3"/>
        <v>Low/no B2B traffic yet - set a Business Price (5-10% below retail) and Quantity Discount tiers (e.g. 5+ units 5% off, 10+ units 10% off) to attract first B2B interest; add bulk/case-pack info to title and bullets</v>
      </c>
    </row>
    <row r="62" ht="14.25" customHeight="1">
      <c r="A62" s="10" t="s">
        <v>97</v>
      </c>
      <c r="B62" s="10">
        <v>3.0</v>
      </c>
      <c r="C62" s="10">
        <v>3.0</v>
      </c>
      <c r="D62" s="10">
        <v>0.0</v>
      </c>
      <c r="E62" s="10">
        <v>1.0</v>
      </c>
      <c r="F62" s="10">
        <v>3.0</v>
      </c>
      <c r="G62" s="10">
        <v>0.0</v>
      </c>
      <c r="H62" s="14">
        <v>1.0</v>
      </c>
      <c r="I62" s="7">
        <f t="shared" si="1"/>
        <v>-2</v>
      </c>
      <c r="J62" s="10" t="str">
        <f>IF(MAX(B62,E62)&gt;=Thresholds!$C$7,"Tier 3 - High",IF(MAX(B62,E62)&gt;=Thresholds!$C$6,"Tier 2 - Moderate","Tier 1 - Low"))</f>
        <v>Tier 1 - Low</v>
      </c>
      <c r="K62" s="7" t="str">
        <f t="shared" si="2"/>
        <v>Low Volume - Setup Needed</v>
      </c>
      <c r="L62" s="10" t="str">
        <f t="shared" si="3"/>
        <v>Low/no B2B traffic yet - set a Business Price (5-10% below retail) and Quantity Discount tiers (e.g. 5+ units 5% off, 10+ units 10% off) to attract first B2B interest; add bulk/case-pack info to title and bullets</v>
      </c>
    </row>
    <row r="63" ht="14.25" customHeight="1">
      <c r="A63" s="10" t="s">
        <v>98</v>
      </c>
      <c r="B63" s="10">
        <v>2.0</v>
      </c>
      <c r="C63" s="10">
        <v>2.0</v>
      </c>
      <c r="D63" s="10">
        <v>0.0</v>
      </c>
      <c r="E63" s="10">
        <v>0.0</v>
      </c>
      <c r="F63" s="10">
        <v>0.0</v>
      </c>
      <c r="G63" s="10">
        <v>0.0</v>
      </c>
      <c r="H63" s="14">
        <v>1.0</v>
      </c>
      <c r="I63" s="7">
        <f t="shared" si="1"/>
        <v>-2</v>
      </c>
      <c r="J63" s="10" t="str">
        <f>IF(MAX(B63,E63)&gt;=Thresholds!$C$7,"Tier 3 - High",IF(MAX(B63,E63)&gt;=Thresholds!$C$6,"Tier 2 - Moderate","Tier 1 - Low"))</f>
        <v>Tier 1 - Low</v>
      </c>
      <c r="K63" s="7" t="str">
        <f t="shared" si="2"/>
        <v>Low Volume - Setup Needed</v>
      </c>
      <c r="L63" s="10" t="str">
        <f t="shared" si="3"/>
        <v>Low/no B2B traffic yet - set a Business Price (5-10% below retail) and Quantity Discount tiers (e.g. 5+ units 5% off, 10+ units 10% off) to attract first B2B interest; add bulk/case-pack info to title and bullets</v>
      </c>
    </row>
    <row r="64" ht="14.25" customHeight="1">
      <c r="A64" s="10" t="s">
        <v>99</v>
      </c>
      <c r="B64" s="10">
        <v>3.0</v>
      </c>
      <c r="C64" s="10">
        <v>9.0</v>
      </c>
      <c r="D64" s="10">
        <v>0.0</v>
      </c>
      <c r="E64" s="10">
        <v>1.0</v>
      </c>
      <c r="F64" s="10">
        <v>2.0</v>
      </c>
      <c r="G64" s="10">
        <v>0.0</v>
      </c>
      <c r="H64" s="14">
        <v>0.2222</v>
      </c>
      <c r="I64" s="7">
        <f t="shared" si="1"/>
        <v>-2</v>
      </c>
      <c r="J64" s="10" t="str">
        <f>IF(MAX(B64,E64)&gt;=Thresholds!$C$7,"Tier 3 - High",IF(MAX(B64,E64)&gt;=Thresholds!$C$6,"Tier 2 - Moderate","Tier 1 - Low"))</f>
        <v>Tier 1 - Low</v>
      </c>
      <c r="K64" s="7" t="str">
        <f t="shared" si="2"/>
        <v>Low Volume - Setup Needed</v>
      </c>
      <c r="L64" s="10" t="str">
        <f t="shared" si="3"/>
        <v>Low/no B2B traffic yet - set a Business Price (5-10% below retail) and Quantity Discount tiers (e.g. 5+ units 5% off, 10+ units 10% off) to attract first B2B interest; add bulk/case-pack info to title and bullets</v>
      </c>
    </row>
    <row r="65" ht="14.25" customHeight="1">
      <c r="A65" s="10" t="s">
        <v>100</v>
      </c>
      <c r="B65" s="10">
        <v>2.0</v>
      </c>
      <c r="C65" s="10">
        <v>3.0</v>
      </c>
      <c r="D65" s="10">
        <v>0.0</v>
      </c>
      <c r="E65" s="10">
        <v>0.0</v>
      </c>
      <c r="F65" s="10">
        <v>0.0</v>
      </c>
      <c r="G65" s="10">
        <v>0.0</v>
      </c>
      <c r="H65" s="14">
        <v>1.0</v>
      </c>
      <c r="I65" s="7">
        <f t="shared" si="1"/>
        <v>-2</v>
      </c>
      <c r="J65" s="10" t="str">
        <f>IF(MAX(B65,E65)&gt;=Thresholds!$C$7,"Tier 3 - High",IF(MAX(B65,E65)&gt;=Thresholds!$C$6,"Tier 2 - Moderate","Tier 1 - Low"))</f>
        <v>Tier 1 - Low</v>
      </c>
      <c r="K65" s="7" t="str">
        <f t="shared" si="2"/>
        <v>Low Volume - Setup Needed</v>
      </c>
      <c r="L65" s="10" t="str">
        <f t="shared" si="3"/>
        <v>Low/no B2B traffic yet - set a Business Price (5-10% below retail) and Quantity Discount tiers (e.g. 5+ units 5% off, 10+ units 10% off) to attract first B2B interest; add bulk/case-pack info to title and bullets</v>
      </c>
    </row>
    <row r="66" ht="14.25" customHeight="1">
      <c r="A66" s="10" t="s">
        <v>101</v>
      </c>
      <c r="B66" s="10">
        <v>3.0</v>
      </c>
      <c r="C66" s="10">
        <v>5.0</v>
      </c>
      <c r="D66" s="10">
        <v>1.0</v>
      </c>
      <c r="E66" s="10">
        <v>1.0</v>
      </c>
      <c r="F66" s="10">
        <v>1.0</v>
      </c>
      <c r="G66" s="10">
        <v>0.0</v>
      </c>
      <c r="H66" s="14">
        <v>1.0</v>
      </c>
      <c r="I66" s="7">
        <f t="shared" si="1"/>
        <v>-2</v>
      </c>
      <c r="J66" s="10" t="str">
        <f>IF(MAX(B66,E66)&gt;=Thresholds!$C$7,"Tier 3 - High",IF(MAX(B66,E66)&gt;=Thresholds!$C$6,"Tier 2 - Moderate","Tier 1 - Low"))</f>
        <v>Tier 1 - Low</v>
      </c>
      <c r="K66" s="7" t="str">
        <f t="shared" si="2"/>
        <v>Low Volume - Setup Needed</v>
      </c>
      <c r="L66" s="10" t="str">
        <f t="shared" si="3"/>
        <v>Low/no B2B traffic yet - set a Business Price (5-10% below retail) and Quantity Discount tiers (e.g. 5+ units 5% off, 10+ units 10% off) to attract first B2B interest; add bulk/case-pack info to title and bullets</v>
      </c>
    </row>
    <row r="67" ht="14.25" customHeight="1">
      <c r="A67" s="10" t="s">
        <v>102</v>
      </c>
      <c r="B67" s="10">
        <v>4.0</v>
      </c>
      <c r="C67" s="10">
        <v>4.0</v>
      </c>
      <c r="D67" s="10">
        <v>0.0</v>
      </c>
      <c r="E67" s="10">
        <v>2.0</v>
      </c>
      <c r="F67" s="10">
        <v>2.0</v>
      </c>
      <c r="G67" s="10">
        <v>0.0</v>
      </c>
      <c r="H67" s="14">
        <v>1.0</v>
      </c>
      <c r="I67" s="7">
        <f t="shared" si="1"/>
        <v>-2</v>
      </c>
      <c r="J67" s="10" t="str">
        <f>IF(MAX(B67,E67)&gt;=Thresholds!$C$7,"Tier 3 - High",IF(MAX(B67,E67)&gt;=Thresholds!$C$6,"Tier 2 - Moderate","Tier 1 - Low"))</f>
        <v>Tier 1 - Low</v>
      </c>
      <c r="K67" s="7" t="str">
        <f t="shared" si="2"/>
        <v>Low Volume - Setup Needed</v>
      </c>
      <c r="L67" s="10" t="str">
        <f t="shared" si="3"/>
        <v>Low/no B2B traffic yet - set a Business Price (5-10% below retail) and Quantity Discount tiers (e.g. 5+ units 5% off, 10+ units 10% off) to attract first B2B interest; add bulk/case-pack info to title and bullets</v>
      </c>
    </row>
    <row r="68" ht="14.25" customHeight="1">
      <c r="A68" s="10" t="s">
        <v>103</v>
      </c>
      <c r="B68" s="10">
        <v>2.0</v>
      </c>
      <c r="C68" s="10">
        <v>2.0</v>
      </c>
      <c r="D68" s="10">
        <v>0.0</v>
      </c>
      <c r="E68" s="10">
        <v>0.0</v>
      </c>
      <c r="F68" s="10">
        <v>0.0</v>
      </c>
      <c r="G68" s="10">
        <v>0.0</v>
      </c>
      <c r="H68" s="14">
        <v>0.0</v>
      </c>
      <c r="I68" s="7">
        <f t="shared" si="1"/>
        <v>-2</v>
      </c>
      <c r="J68" s="10" t="str">
        <f>IF(MAX(B68,E68)&gt;=Thresholds!$C$7,"Tier 3 - High",IF(MAX(B68,E68)&gt;=Thresholds!$C$6,"Tier 2 - Moderate","Tier 1 - Low"))</f>
        <v>Tier 1 - Low</v>
      </c>
      <c r="K68" s="7" t="str">
        <f t="shared" si="2"/>
        <v>Low Volume - Setup Needed</v>
      </c>
      <c r="L68" s="10" t="str">
        <f t="shared" si="3"/>
        <v>Low/no B2B traffic yet - set a Business Price (5-10% below retail) and Quantity Discount tiers (e.g. 5+ units 5% off, 10+ units 10% off) to attract first B2B interest; add bulk/case-pack info to title and bullets</v>
      </c>
    </row>
    <row r="69" ht="14.25" customHeight="1">
      <c r="A69" s="10" t="s">
        <v>104</v>
      </c>
      <c r="B69" s="10">
        <v>2.0</v>
      </c>
      <c r="C69" s="10">
        <v>3.0</v>
      </c>
      <c r="D69" s="10">
        <v>0.0</v>
      </c>
      <c r="E69" s="10">
        <v>0.0</v>
      </c>
      <c r="F69" s="10">
        <v>0.0</v>
      </c>
      <c r="G69" s="10">
        <v>0.0</v>
      </c>
      <c r="H69" s="14">
        <v>1.0</v>
      </c>
      <c r="I69" s="7">
        <f t="shared" si="1"/>
        <v>-2</v>
      </c>
      <c r="J69" s="10" t="str">
        <f>IF(MAX(B69,E69)&gt;=Thresholds!$C$7,"Tier 3 - High",IF(MAX(B69,E69)&gt;=Thresholds!$C$6,"Tier 2 - Moderate","Tier 1 - Low"))</f>
        <v>Tier 1 - Low</v>
      </c>
      <c r="K69" s="7" t="str">
        <f t="shared" si="2"/>
        <v>Low Volume - Setup Needed</v>
      </c>
      <c r="L69" s="10" t="str">
        <f t="shared" si="3"/>
        <v>Low/no B2B traffic yet - set a Business Price (5-10% below retail) and Quantity Discount tiers (e.g. 5+ units 5% off, 10+ units 10% off) to attract first B2B interest; add bulk/case-pack info to title and bullets</v>
      </c>
    </row>
    <row r="70" ht="14.25" customHeight="1">
      <c r="A70" s="10" t="s">
        <v>105</v>
      </c>
      <c r="B70" s="10">
        <v>5.0</v>
      </c>
      <c r="C70" s="10">
        <v>8.0</v>
      </c>
      <c r="D70" s="10">
        <v>0.0</v>
      </c>
      <c r="E70" s="10">
        <v>3.0</v>
      </c>
      <c r="F70" s="10">
        <v>4.0</v>
      </c>
      <c r="G70" s="10">
        <v>0.0</v>
      </c>
      <c r="H70" s="14">
        <v>0.9897</v>
      </c>
      <c r="I70" s="7">
        <f t="shared" si="1"/>
        <v>-2</v>
      </c>
      <c r="J70" s="10" t="str">
        <f>IF(MAX(B70,E70)&gt;=Thresholds!$C$7,"Tier 3 - High",IF(MAX(B70,E70)&gt;=Thresholds!$C$6,"Tier 2 - Moderate","Tier 1 - Low"))</f>
        <v>Tier 2 - Moderate</v>
      </c>
      <c r="K70" s="7" t="str">
        <f t="shared" si="2"/>
        <v>Moderate - Review</v>
      </c>
      <c r="L70" s="10" t="str">
        <f t="shared" si="3"/>
        <v>Light check - Buy Box %, confirm Business Price/Quantity Discount still active, quick scan of title and main image</v>
      </c>
    </row>
    <row r="71" ht="14.25" customHeight="1">
      <c r="A71" s="10" t="s">
        <v>106</v>
      </c>
      <c r="B71" s="10">
        <v>4.0</v>
      </c>
      <c r="C71" s="10">
        <v>5.0</v>
      </c>
      <c r="D71" s="10">
        <v>0.0</v>
      </c>
      <c r="E71" s="10">
        <v>2.0</v>
      </c>
      <c r="F71" s="10">
        <v>2.0</v>
      </c>
      <c r="G71" s="10">
        <v>0.0</v>
      </c>
      <c r="H71" s="14">
        <v>0.995</v>
      </c>
      <c r="I71" s="7">
        <f t="shared" si="1"/>
        <v>-2</v>
      </c>
      <c r="J71" s="10" t="str">
        <f>IF(MAX(B71,E71)&gt;=Thresholds!$C$7,"Tier 3 - High",IF(MAX(B71,E71)&gt;=Thresholds!$C$6,"Tier 2 - Moderate","Tier 1 - Low"))</f>
        <v>Tier 1 - Low</v>
      </c>
      <c r="K71" s="7" t="str">
        <f t="shared" si="2"/>
        <v>Low Volume - Setup Needed</v>
      </c>
      <c r="L71" s="10" t="str">
        <f t="shared" si="3"/>
        <v>Low/no B2B traffic yet - set a Business Price (5-10% below retail) and Quantity Discount tiers (e.g. 5+ units 5% off, 10+ units 10% off) to attract first B2B interest; add bulk/case-pack info to title and bullets</v>
      </c>
    </row>
    <row r="72" ht="14.25" customHeight="1">
      <c r="A72" s="10" t="s">
        <v>107</v>
      </c>
      <c r="B72" s="10">
        <v>4.0</v>
      </c>
      <c r="C72" s="10">
        <v>5.0</v>
      </c>
      <c r="D72" s="10">
        <v>0.0</v>
      </c>
      <c r="E72" s="10">
        <v>2.0</v>
      </c>
      <c r="F72" s="10">
        <v>2.0</v>
      </c>
      <c r="G72" s="10">
        <v>5.0</v>
      </c>
      <c r="H72" s="14">
        <v>0.5984</v>
      </c>
      <c r="I72" s="7">
        <f t="shared" si="1"/>
        <v>-2</v>
      </c>
      <c r="J72" s="10" t="str">
        <f>IF(MAX(B72,E72)&gt;=Thresholds!$C$7,"Tier 3 - High",IF(MAX(B72,E72)&gt;=Thresholds!$C$6,"Tier 2 - Moderate","Tier 1 - Low"))</f>
        <v>Tier 1 - Low</v>
      </c>
      <c r="K72" s="7" t="str">
        <f t="shared" si="2"/>
        <v>Low Volume - Setup Needed</v>
      </c>
      <c r="L72" s="10" t="str">
        <f t="shared" si="3"/>
        <v>Low/no B2B traffic yet - set a Business Price (5-10% below retail) and Quantity Discount tiers (e.g. 5+ units 5% off, 10+ units 10% off) to attract first B2B interest; add bulk/case-pack info to title and bullets</v>
      </c>
    </row>
    <row r="73" ht="14.25" customHeight="1">
      <c r="A73" s="10" t="s">
        <v>108</v>
      </c>
      <c r="B73" s="10">
        <v>2.0</v>
      </c>
      <c r="C73" s="10">
        <v>2.0</v>
      </c>
      <c r="D73" s="10">
        <v>0.0</v>
      </c>
      <c r="E73" s="10">
        <v>0.0</v>
      </c>
      <c r="F73" s="10">
        <v>0.0</v>
      </c>
      <c r="G73" s="10">
        <v>0.0</v>
      </c>
      <c r="H73" s="14">
        <v>1.0</v>
      </c>
      <c r="I73" s="7">
        <f t="shared" si="1"/>
        <v>-2</v>
      </c>
      <c r="J73" s="10" t="str">
        <f>IF(MAX(B73,E73)&gt;=Thresholds!$C$7,"Tier 3 - High",IF(MAX(B73,E73)&gt;=Thresholds!$C$6,"Tier 2 - Moderate","Tier 1 - Low"))</f>
        <v>Tier 1 - Low</v>
      </c>
      <c r="K73" s="7" t="str">
        <f t="shared" si="2"/>
        <v>Low Volume - Setup Needed</v>
      </c>
      <c r="L73" s="10" t="str">
        <f t="shared" si="3"/>
        <v>Low/no B2B traffic yet - set a Business Price (5-10% below retail) and Quantity Discount tiers (e.g. 5+ units 5% off, 10+ units 10% off) to attract first B2B interest; add bulk/case-pack info to title and bullets</v>
      </c>
    </row>
    <row r="74" ht="14.25" customHeight="1">
      <c r="A74" s="10" t="s">
        <v>109</v>
      </c>
      <c r="B74" s="10">
        <v>3.0</v>
      </c>
      <c r="C74" s="10">
        <v>3.0</v>
      </c>
      <c r="D74" s="10">
        <v>0.0</v>
      </c>
      <c r="E74" s="10">
        <v>1.0</v>
      </c>
      <c r="F74" s="10">
        <v>2.0</v>
      </c>
      <c r="G74" s="10">
        <v>0.0</v>
      </c>
      <c r="H74" s="14">
        <v>0.9727</v>
      </c>
      <c r="I74" s="7">
        <f t="shared" si="1"/>
        <v>-2</v>
      </c>
      <c r="J74" s="10" t="str">
        <f>IF(MAX(B74,E74)&gt;=Thresholds!$C$7,"Tier 3 - High",IF(MAX(B74,E74)&gt;=Thresholds!$C$6,"Tier 2 - Moderate","Tier 1 - Low"))</f>
        <v>Tier 1 - Low</v>
      </c>
      <c r="K74" s="7" t="str">
        <f t="shared" si="2"/>
        <v>Low Volume - Setup Needed</v>
      </c>
      <c r="L74" s="10" t="str">
        <f t="shared" si="3"/>
        <v>Low/no B2B traffic yet - set a Business Price (5-10% below retail) and Quantity Discount tiers (e.g. 5+ units 5% off, 10+ units 10% off) to attract first B2B interest; add bulk/case-pack info to title and bullets</v>
      </c>
    </row>
    <row r="75" ht="14.25" customHeight="1">
      <c r="A75" s="10" t="s">
        <v>110</v>
      </c>
      <c r="B75" s="10">
        <v>2.0</v>
      </c>
      <c r="C75" s="10">
        <v>2.0</v>
      </c>
      <c r="D75" s="10">
        <v>0.0</v>
      </c>
      <c r="E75" s="10">
        <v>0.0</v>
      </c>
      <c r="F75" s="10">
        <v>0.0</v>
      </c>
      <c r="G75" s="10">
        <v>0.0</v>
      </c>
      <c r="H75" s="14">
        <v>0.0</v>
      </c>
      <c r="I75" s="7">
        <f t="shared" si="1"/>
        <v>-2</v>
      </c>
      <c r="J75" s="10" t="str">
        <f>IF(MAX(B75,E75)&gt;=Thresholds!$C$7,"Tier 3 - High",IF(MAX(B75,E75)&gt;=Thresholds!$C$6,"Tier 2 - Moderate","Tier 1 - Low"))</f>
        <v>Tier 1 - Low</v>
      </c>
      <c r="K75" s="7" t="str">
        <f t="shared" si="2"/>
        <v>Low Volume - Setup Needed</v>
      </c>
      <c r="L75" s="10" t="str">
        <f t="shared" si="3"/>
        <v>Low/no B2B traffic yet - set a Business Price (5-10% below retail) and Quantity Discount tiers (e.g. 5+ units 5% off, 10+ units 10% off) to attract first B2B interest; add bulk/case-pack info to title and bullets</v>
      </c>
    </row>
    <row r="76" ht="14.25" customHeight="1">
      <c r="A76" s="10" t="s">
        <v>111</v>
      </c>
      <c r="B76" s="10">
        <v>3.0</v>
      </c>
      <c r="C76" s="10">
        <v>3.0</v>
      </c>
      <c r="D76" s="10">
        <v>0.0</v>
      </c>
      <c r="E76" s="10">
        <v>1.0</v>
      </c>
      <c r="F76" s="10">
        <v>1.0</v>
      </c>
      <c r="G76" s="10">
        <v>0.0</v>
      </c>
      <c r="H76" s="14">
        <v>1.0</v>
      </c>
      <c r="I76" s="7">
        <f t="shared" si="1"/>
        <v>-2</v>
      </c>
      <c r="J76" s="10" t="str">
        <f>IF(MAX(B76,E76)&gt;=Thresholds!$C$7,"Tier 3 - High",IF(MAX(B76,E76)&gt;=Thresholds!$C$6,"Tier 2 - Moderate","Tier 1 - Low"))</f>
        <v>Tier 1 - Low</v>
      </c>
      <c r="K76" s="7" t="str">
        <f t="shared" si="2"/>
        <v>Low Volume - Setup Needed</v>
      </c>
      <c r="L76" s="10" t="str">
        <f t="shared" si="3"/>
        <v>Low/no B2B traffic yet - set a Business Price (5-10% below retail) and Quantity Discount tiers (e.g. 5+ units 5% off, 10+ units 10% off) to attract first B2B interest; add bulk/case-pack info to title and bullets</v>
      </c>
    </row>
    <row r="77" ht="14.25" customHeight="1">
      <c r="A77" s="10" t="s">
        <v>112</v>
      </c>
      <c r="B77" s="10">
        <v>3.0</v>
      </c>
      <c r="C77" s="10">
        <v>3.0</v>
      </c>
      <c r="D77" s="10">
        <v>0.0</v>
      </c>
      <c r="E77" s="10">
        <v>1.0</v>
      </c>
      <c r="F77" s="10">
        <v>1.0</v>
      </c>
      <c r="G77" s="10">
        <v>0.0</v>
      </c>
      <c r="H77" s="14">
        <v>0.0</v>
      </c>
      <c r="I77" s="7">
        <f t="shared" si="1"/>
        <v>-2</v>
      </c>
      <c r="J77" s="10" t="str">
        <f>IF(MAX(B77,E77)&gt;=Thresholds!$C$7,"Tier 3 - High",IF(MAX(B77,E77)&gt;=Thresholds!$C$6,"Tier 2 - Moderate","Tier 1 - Low"))</f>
        <v>Tier 1 - Low</v>
      </c>
      <c r="K77" s="7" t="str">
        <f t="shared" si="2"/>
        <v>Low Volume - Setup Needed</v>
      </c>
      <c r="L77" s="10" t="str">
        <f t="shared" si="3"/>
        <v>Low/no B2B traffic yet - set a Business Price (5-10% below retail) and Quantity Discount tiers (e.g. 5+ units 5% off, 10+ units 10% off) to attract first B2B interest; add bulk/case-pack info to title and bullets</v>
      </c>
    </row>
    <row r="78" ht="14.25" customHeight="1">
      <c r="A78" s="10" t="s">
        <v>113</v>
      </c>
      <c r="B78" s="10">
        <v>2.0</v>
      </c>
      <c r="C78" s="10">
        <v>2.0</v>
      </c>
      <c r="D78" s="10">
        <v>0.0</v>
      </c>
      <c r="E78" s="10">
        <v>0.0</v>
      </c>
      <c r="F78" s="10">
        <v>0.0</v>
      </c>
      <c r="G78" s="10">
        <v>0.0</v>
      </c>
      <c r="H78" s="14">
        <v>1.0</v>
      </c>
      <c r="I78" s="7">
        <f t="shared" si="1"/>
        <v>-2</v>
      </c>
      <c r="J78" s="10" t="str">
        <f>IF(MAX(B78,E78)&gt;=Thresholds!$C$7,"Tier 3 - High",IF(MAX(B78,E78)&gt;=Thresholds!$C$6,"Tier 2 - Moderate","Tier 1 - Low"))</f>
        <v>Tier 1 - Low</v>
      </c>
      <c r="K78" s="7" t="str">
        <f t="shared" si="2"/>
        <v>Low Volume - Setup Needed</v>
      </c>
      <c r="L78" s="10" t="str">
        <f t="shared" si="3"/>
        <v>Low/no B2B traffic yet - set a Business Price (5-10% below retail) and Quantity Discount tiers (e.g. 5+ units 5% off, 10+ units 10% off) to attract first B2B interest; add bulk/case-pack info to title and bullets</v>
      </c>
    </row>
    <row r="79" ht="14.25" customHeight="1">
      <c r="A79" s="10" t="s">
        <v>114</v>
      </c>
      <c r="B79" s="10">
        <v>2.0</v>
      </c>
      <c r="C79" s="10">
        <v>5.0</v>
      </c>
      <c r="D79" s="10">
        <v>0.0</v>
      </c>
      <c r="E79" s="10">
        <v>0.0</v>
      </c>
      <c r="F79" s="10">
        <v>0.0</v>
      </c>
      <c r="G79" s="10">
        <v>0.0</v>
      </c>
      <c r="H79" s="14">
        <v>1.0</v>
      </c>
      <c r="I79" s="7">
        <f t="shared" si="1"/>
        <v>-2</v>
      </c>
      <c r="J79" s="10" t="str">
        <f>IF(MAX(B79,E79)&gt;=Thresholds!$C$7,"Tier 3 - High",IF(MAX(B79,E79)&gt;=Thresholds!$C$6,"Tier 2 - Moderate","Tier 1 - Low"))</f>
        <v>Tier 1 - Low</v>
      </c>
      <c r="K79" s="7" t="str">
        <f t="shared" si="2"/>
        <v>Low Volume - Setup Needed</v>
      </c>
      <c r="L79" s="10" t="str">
        <f t="shared" si="3"/>
        <v>Low/no B2B traffic yet - set a Business Price (5-10% below retail) and Quantity Discount tiers (e.g. 5+ units 5% off, 10+ units 10% off) to attract first B2B interest; add bulk/case-pack info to title and bullets</v>
      </c>
    </row>
    <row r="80" ht="14.25" customHeight="1">
      <c r="A80" s="10" t="s">
        <v>115</v>
      </c>
      <c r="B80" s="10">
        <v>2.0</v>
      </c>
      <c r="C80" s="10">
        <v>2.0</v>
      </c>
      <c r="D80" s="10">
        <v>0.0</v>
      </c>
      <c r="E80" s="10">
        <v>0.0</v>
      </c>
      <c r="F80" s="10">
        <v>0.0</v>
      </c>
      <c r="G80" s="10">
        <v>0.0</v>
      </c>
      <c r="H80" s="14">
        <v>1.0</v>
      </c>
      <c r="I80" s="7">
        <f t="shared" si="1"/>
        <v>-2</v>
      </c>
      <c r="J80" s="10" t="str">
        <f>IF(MAX(B80,E80)&gt;=Thresholds!$C$7,"Tier 3 - High",IF(MAX(B80,E80)&gt;=Thresholds!$C$6,"Tier 2 - Moderate","Tier 1 - Low"))</f>
        <v>Tier 1 - Low</v>
      </c>
      <c r="K80" s="7" t="str">
        <f t="shared" si="2"/>
        <v>Low Volume - Setup Needed</v>
      </c>
      <c r="L80" s="10" t="str">
        <f t="shared" si="3"/>
        <v>Low/no B2B traffic yet - set a Business Price (5-10% below retail) and Quantity Discount tiers (e.g. 5+ units 5% off, 10+ units 10% off) to attract first B2B interest; add bulk/case-pack info to title and bullets</v>
      </c>
    </row>
    <row r="81" ht="14.25" customHeight="1">
      <c r="A81" s="10" t="s">
        <v>116</v>
      </c>
      <c r="B81" s="10">
        <v>2.0</v>
      </c>
      <c r="C81" s="10">
        <v>2.0</v>
      </c>
      <c r="D81" s="10">
        <v>0.0</v>
      </c>
      <c r="E81" s="10">
        <v>0.0</v>
      </c>
      <c r="F81" s="10">
        <v>0.0</v>
      </c>
      <c r="G81" s="10">
        <v>0.0</v>
      </c>
      <c r="H81" s="14">
        <v>1.0</v>
      </c>
      <c r="I81" s="7">
        <f t="shared" si="1"/>
        <v>-2</v>
      </c>
      <c r="J81" s="10" t="str">
        <f>IF(MAX(B81,E81)&gt;=Thresholds!$C$7,"Tier 3 - High",IF(MAX(B81,E81)&gt;=Thresholds!$C$6,"Tier 2 - Moderate","Tier 1 - Low"))</f>
        <v>Tier 1 - Low</v>
      </c>
      <c r="K81" s="7" t="str">
        <f t="shared" si="2"/>
        <v>Low Volume - Setup Needed</v>
      </c>
      <c r="L81" s="10" t="str">
        <f t="shared" si="3"/>
        <v>Low/no B2B traffic yet - set a Business Price (5-10% below retail) and Quantity Discount tiers (e.g. 5+ units 5% off, 10+ units 10% off) to attract first B2B interest; add bulk/case-pack info to title and bullets</v>
      </c>
    </row>
    <row r="82" ht="14.25" customHeight="1">
      <c r="A82" s="10" t="s">
        <v>117</v>
      </c>
      <c r="B82" s="10">
        <v>2.0</v>
      </c>
      <c r="C82" s="10">
        <v>2.0</v>
      </c>
      <c r="D82" s="10">
        <v>0.0</v>
      </c>
      <c r="E82" s="10">
        <v>1.0</v>
      </c>
      <c r="F82" s="10">
        <v>1.0</v>
      </c>
      <c r="G82" s="10">
        <v>0.0</v>
      </c>
      <c r="H82" s="14">
        <v>0.0</v>
      </c>
      <c r="I82" s="7">
        <f t="shared" si="1"/>
        <v>-1</v>
      </c>
      <c r="J82" s="10" t="str">
        <f>IF(MAX(B82,E82)&gt;=Thresholds!$C$7,"Tier 3 - High",IF(MAX(B82,E82)&gt;=Thresholds!$C$6,"Tier 2 - Moderate","Tier 1 - Low"))</f>
        <v>Tier 1 - Low</v>
      </c>
      <c r="K82" s="7" t="str">
        <f t="shared" si="2"/>
        <v>Low Volume - Setup Needed</v>
      </c>
      <c r="L82" s="10" t="str">
        <f t="shared" si="3"/>
        <v>Low/no B2B traffic yet - set a Business Price (5-10% below retail) and Quantity Discount tiers (e.g. 5+ units 5% off, 10+ units 10% off) to attract first B2B interest; add bulk/case-pack info to title and bullets</v>
      </c>
    </row>
    <row r="83" ht="14.25" customHeight="1">
      <c r="A83" s="10" t="s">
        <v>118</v>
      </c>
      <c r="B83" s="10">
        <v>1.0</v>
      </c>
      <c r="C83" s="10">
        <v>1.0</v>
      </c>
      <c r="D83" s="10">
        <v>0.0</v>
      </c>
      <c r="E83" s="10">
        <v>0.0</v>
      </c>
      <c r="F83" s="10">
        <v>0.0</v>
      </c>
      <c r="G83" s="10">
        <v>0.0</v>
      </c>
      <c r="H83" s="14">
        <v>0.0</v>
      </c>
      <c r="I83" s="7">
        <f t="shared" si="1"/>
        <v>-1</v>
      </c>
      <c r="J83" s="10" t="str">
        <f>IF(MAX(B83,E83)&gt;=Thresholds!$C$7,"Tier 3 - High",IF(MAX(B83,E83)&gt;=Thresholds!$C$6,"Tier 2 - Moderate","Tier 1 - Low"))</f>
        <v>Tier 1 - Low</v>
      </c>
      <c r="K83" s="7" t="str">
        <f t="shared" si="2"/>
        <v>Low Volume - Setup Needed</v>
      </c>
      <c r="L83" s="10" t="str">
        <f t="shared" si="3"/>
        <v>Low/no B2B traffic yet - set a Business Price (5-10% below retail) and Quantity Discount tiers (e.g. 5+ units 5% off, 10+ units 10% off) to attract first B2B interest; add bulk/case-pack info to title and bullets</v>
      </c>
    </row>
    <row r="84" ht="14.25" customHeight="1">
      <c r="A84" s="10" t="s">
        <v>119</v>
      </c>
      <c r="B84" s="10">
        <v>1.0</v>
      </c>
      <c r="C84" s="10">
        <v>1.0</v>
      </c>
      <c r="D84" s="10">
        <v>0.0</v>
      </c>
      <c r="E84" s="10">
        <v>0.0</v>
      </c>
      <c r="F84" s="10">
        <v>0.0</v>
      </c>
      <c r="G84" s="10">
        <v>0.0</v>
      </c>
      <c r="H84" s="14">
        <v>1.0</v>
      </c>
      <c r="I84" s="7">
        <f t="shared" si="1"/>
        <v>-1</v>
      </c>
      <c r="J84" s="10" t="str">
        <f>IF(MAX(B84,E84)&gt;=Thresholds!$C$7,"Tier 3 - High",IF(MAX(B84,E84)&gt;=Thresholds!$C$6,"Tier 2 - Moderate","Tier 1 - Low"))</f>
        <v>Tier 1 - Low</v>
      </c>
      <c r="K84" s="7" t="str">
        <f t="shared" si="2"/>
        <v>Low Volume - Setup Needed</v>
      </c>
      <c r="L84" s="10" t="str">
        <f t="shared" si="3"/>
        <v>Low/no B2B traffic yet - set a Business Price (5-10% below retail) and Quantity Discount tiers (e.g. 5+ units 5% off, 10+ units 10% off) to attract first B2B interest; add bulk/case-pack info to title and bullets</v>
      </c>
    </row>
    <row r="85" ht="14.25" customHeight="1">
      <c r="A85" s="10" t="s">
        <v>120</v>
      </c>
      <c r="B85" s="10">
        <v>1.0</v>
      </c>
      <c r="C85" s="10">
        <v>2.0</v>
      </c>
      <c r="D85" s="10">
        <v>0.0</v>
      </c>
      <c r="E85" s="10">
        <v>0.0</v>
      </c>
      <c r="F85" s="10">
        <v>0.0</v>
      </c>
      <c r="G85" s="10">
        <v>0.0</v>
      </c>
      <c r="H85" s="14">
        <v>1.0</v>
      </c>
      <c r="I85" s="7">
        <f t="shared" si="1"/>
        <v>-1</v>
      </c>
      <c r="J85" s="10" t="str">
        <f>IF(MAX(B85,E85)&gt;=Thresholds!$C$7,"Tier 3 - High",IF(MAX(B85,E85)&gt;=Thresholds!$C$6,"Tier 2 - Moderate","Tier 1 - Low"))</f>
        <v>Tier 1 - Low</v>
      </c>
      <c r="K85" s="7" t="str">
        <f t="shared" si="2"/>
        <v>Low Volume - Setup Needed</v>
      </c>
      <c r="L85" s="10" t="str">
        <f t="shared" si="3"/>
        <v>Low/no B2B traffic yet - set a Business Price (5-10% below retail) and Quantity Discount tiers (e.g. 5+ units 5% off, 10+ units 10% off) to attract first B2B interest; add bulk/case-pack info to title and bullets</v>
      </c>
    </row>
    <row r="86" ht="14.25" customHeight="1">
      <c r="A86" s="10" t="s">
        <v>121</v>
      </c>
      <c r="B86" s="10">
        <v>1.0</v>
      </c>
      <c r="C86" s="10">
        <v>1.0</v>
      </c>
      <c r="D86" s="10">
        <v>0.0</v>
      </c>
      <c r="E86" s="10">
        <v>0.0</v>
      </c>
      <c r="F86" s="10">
        <v>0.0</v>
      </c>
      <c r="G86" s="10">
        <v>0.0</v>
      </c>
      <c r="H86" s="14">
        <v>0.0</v>
      </c>
      <c r="I86" s="7">
        <f t="shared" si="1"/>
        <v>-1</v>
      </c>
      <c r="J86" s="10" t="str">
        <f>IF(MAX(B86,E86)&gt;=Thresholds!$C$7,"Tier 3 - High",IF(MAX(B86,E86)&gt;=Thresholds!$C$6,"Tier 2 - Moderate","Tier 1 - Low"))</f>
        <v>Tier 1 - Low</v>
      </c>
      <c r="K86" s="7" t="str">
        <f t="shared" si="2"/>
        <v>Low Volume - Setup Needed</v>
      </c>
      <c r="L86" s="10" t="str">
        <f t="shared" si="3"/>
        <v>Low/no B2B traffic yet - set a Business Price (5-10% below retail) and Quantity Discount tiers (e.g. 5+ units 5% off, 10+ units 10% off) to attract first B2B interest; add bulk/case-pack info to title and bullets</v>
      </c>
    </row>
    <row r="87" ht="14.25" customHeight="1">
      <c r="A87" s="10" t="s">
        <v>122</v>
      </c>
      <c r="B87" s="10">
        <v>1.0</v>
      </c>
      <c r="C87" s="10">
        <v>1.0</v>
      </c>
      <c r="D87" s="10">
        <v>0.0</v>
      </c>
      <c r="E87" s="10">
        <v>0.0</v>
      </c>
      <c r="F87" s="10">
        <v>0.0</v>
      </c>
      <c r="G87" s="10">
        <v>0.0</v>
      </c>
      <c r="H87" s="14">
        <v>1.0</v>
      </c>
      <c r="I87" s="7">
        <f t="shared" si="1"/>
        <v>-1</v>
      </c>
      <c r="J87" s="10" t="str">
        <f>IF(MAX(B87,E87)&gt;=Thresholds!$C$7,"Tier 3 - High",IF(MAX(B87,E87)&gt;=Thresholds!$C$6,"Tier 2 - Moderate","Tier 1 - Low"))</f>
        <v>Tier 1 - Low</v>
      </c>
      <c r="K87" s="7" t="str">
        <f t="shared" si="2"/>
        <v>Low Volume - Setup Needed</v>
      </c>
      <c r="L87" s="10" t="str">
        <f t="shared" si="3"/>
        <v>Low/no B2B traffic yet - set a Business Price (5-10% below retail) and Quantity Discount tiers (e.g. 5+ units 5% off, 10+ units 10% off) to attract first B2B interest; add bulk/case-pack info to title and bullets</v>
      </c>
    </row>
    <row r="88" ht="14.25" customHeight="1">
      <c r="A88" s="10" t="s">
        <v>123</v>
      </c>
      <c r="B88" s="10">
        <v>1.0</v>
      </c>
      <c r="C88" s="10">
        <v>1.0</v>
      </c>
      <c r="D88" s="10">
        <v>0.0</v>
      </c>
      <c r="E88" s="10">
        <v>0.0</v>
      </c>
      <c r="F88" s="10">
        <v>0.0</v>
      </c>
      <c r="G88" s="10">
        <v>0.0</v>
      </c>
      <c r="H88" s="14">
        <v>0.7143</v>
      </c>
      <c r="I88" s="7">
        <f t="shared" si="1"/>
        <v>-1</v>
      </c>
      <c r="J88" s="10" t="str">
        <f>IF(MAX(B88,E88)&gt;=Thresholds!$C$7,"Tier 3 - High",IF(MAX(B88,E88)&gt;=Thresholds!$C$6,"Tier 2 - Moderate","Tier 1 - Low"))</f>
        <v>Tier 1 - Low</v>
      </c>
      <c r="K88" s="7" t="str">
        <f t="shared" si="2"/>
        <v>Low Volume - Setup Needed</v>
      </c>
      <c r="L88" s="10" t="str">
        <f t="shared" si="3"/>
        <v>Low/no B2B traffic yet - set a Business Price (5-10% below retail) and Quantity Discount tiers (e.g. 5+ units 5% off, 10+ units 10% off) to attract first B2B interest; add bulk/case-pack info to title and bullets</v>
      </c>
    </row>
    <row r="89" ht="14.25" customHeight="1">
      <c r="A89" s="10" t="s">
        <v>124</v>
      </c>
      <c r="B89" s="10">
        <v>1.0</v>
      </c>
      <c r="C89" s="10">
        <v>1.0</v>
      </c>
      <c r="D89" s="10">
        <v>0.0</v>
      </c>
      <c r="E89" s="10">
        <v>0.0</v>
      </c>
      <c r="F89" s="10">
        <v>0.0</v>
      </c>
      <c r="G89" s="10">
        <v>0.0</v>
      </c>
      <c r="H89" s="14">
        <v>1.0</v>
      </c>
      <c r="I89" s="7">
        <f t="shared" si="1"/>
        <v>-1</v>
      </c>
      <c r="J89" s="10" t="str">
        <f>IF(MAX(B89,E89)&gt;=Thresholds!$C$7,"Tier 3 - High",IF(MAX(B89,E89)&gt;=Thresholds!$C$6,"Tier 2 - Moderate","Tier 1 - Low"))</f>
        <v>Tier 1 - Low</v>
      </c>
      <c r="K89" s="7" t="str">
        <f t="shared" si="2"/>
        <v>Low Volume - Setup Needed</v>
      </c>
      <c r="L89" s="10" t="str">
        <f t="shared" si="3"/>
        <v>Low/no B2B traffic yet - set a Business Price (5-10% below retail) and Quantity Discount tiers (e.g. 5+ units 5% off, 10+ units 10% off) to attract first B2B interest; add bulk/case-pack info to title and bullets</v>
      </c>
    </row>
    <row r="90" ht="14.25" customHeight="1">
      <c r="A90" s="10" t="s">
        <v>125</v>
      </c>
      <c r="B90" s="10">
        <v>1.0</v>
      </c>
      <c r="C90" s="10">
        <v>1.0</v>
      </c>
      <c r="D90" s="10">
        <v>0.0</v>
      </c>
      <c r="E90" s="10">
        <v>0.0</v>
      </c>
      <c r="F90" s="10">
        <v>0.0</v>
      </c>
      <c r="G90" s="10">
        <v>0.0</v>
      </c>
      <c r="H90" s="14">
        <v>0.0</v>
      </c>
      <c r="I90" s="7">
        <f t="shared" si="1"/>
        <v>-1</v>
      </c>
      <c r="J90" s="10" t="str">
        <f>IF(MAX(B90,E90)&gt;=Thresholds!$C$7,"Tier 3 - High",IF(MAX(B90,E90)&gt;=Thresholds!$C$6,"Tier 2 - Moderate","Tier 1 - Low"))</f>
        <v>Tier 1 - Low</v>
      </c>
      <c r="K90" s="7" t="str">
        <f t="shared" si="2"/>
        <v>Low Volume - Setup Needed</v>
      </c>
      <c r="L90" s="10" t="str">
        <f t="shared" si="3"/>
        <v>Low/no B2B traffic yet - set a Business Price (5-10% below retail) and Quantity Discount tiers (e.g. 5+ units 5% off, 10+ units 10% off) to attract first B2B interest; add bulk/case-pack info to title and bullets</v>
      </c>
    </row>
    <row r="91" ht="14.25" customHeight="1">
      <c r="A91" s="10" t="s">
        <v>126</v>
      </c>
      <c r="B91" s="10">
        <v>1.0</v>
      </c>
      <c r="C91" s="10">
        <v>1.0</v>
      </c>
      <c r="D91" s="10">
        <v>0.0</v>
      </c>
      <c r="E91" s="10">
        <v>0.0</v>
      </c>
      <c r="F91" s="10">
        <v>0.0</v>
      </c>
      <c r="G91" s="10">
        <v>0.0</v>
      </c>
      <c r="H91" s="14">
        <v>0.0</v>
      </c>
      <c r="I91" s="7">
        <f t="shared" si="1"/>
        <v>-1</v>
      </c>
      <c r="J91" s="10" t="str">
        <f>IF(MAX(B91,E91)&gt;=Thresholds!$C$7,"Tier 3 - High",IF(MAX(B91,E91)&gt;=Thresholds!$C$6,"Tier 2 - Moderate","Tier 1 - Low"))</f>
        <v>Tier 1 - Low</v>
      </c>
      <c r="K91" s="7" t="str">
        <f t="shared" si="2"/>
        <v>Low Volume - Setup Needed</v>
      </c>
      <c r="L91" s="10" t="str">
        <f t="shared" si="3"/>
        <v>Low/no B2B traffic yet - set a Business Price (5-10% below retail) and Quantity Discount tiers (e.g. 5+ units 5% off, 10+ units 10% off) to attract first B2B interest; add bulk/case-pack info to title and bullets</v>
      </c>
    </row>
    <row r="92" ht="14.25" customHeight="1">
      <c r="A92" s="10" t="s">
        <v>127</v>
      </c>
      <c r="B92" s="10">
        <v>1.0</v>
      </c>
      <c r="C92" s="10">
        <v>2.0</v>
      </c>
      <c r="D92" s="10">
        <v>0.0</v>
      </c>
      <c r="E92" s="10">
        <v>0.0</v>
      </c>
      <c r="F92" s="10">
        <v>0.0</v>
      </c>
      <c r="G92" s="10">
        <v>0.0</v>
      </c>
      <c r="H92" s="14">
        <v>0.95</v>
      </c>
      <c r="I92" s="7">
        <f t="shared" si="1"/>
        <v>-1</v>
      </c>
      <c r="J92" s="10" t="str">
        <f>IF(MAX(B92,E92)&gt;=Thresholds!$C$7,"Tier 3 - High",IF(MAX(B92,E92)&gt;=Thresholds!$C$6,"Tier 2 - Moderate","Tier 1 - Low"))</f>
        <v>Tier 1 - Low</v>
      </c>
      <c r="K92" s="7" t="str">
        <f t="shared" si="2"/>
        <v>Low Volume - Setup Needed</v>
      </c>
      <c r="L92" s="10" t="str">
        <f t="shared" si="3"/>
        <v>Low/no B2B traffic yet - set a Business Price (5-10% below retail) and Quantity Discount tiers (e.g. 5+ units 5% off, 10+ units 10% off) to attract first B2B interest; add bulk/case-pack info to title and bullets</v>
      </c>
    </row>
    <row r="93" ht="14.25" customHeight="1">
      <c r="A93" s="10" t="s">
        <v>128</v>
      </c>
      <c r="B93" s="10">
        <v>1.0</v>
      </c>
      <c r="C93" s="10">
        <v>1.0</v>
      </c>
      <c r="D93" s="10">
        <v>0.0</v>
      </c>
      <c r="E93" s="10">
        <v>0.0</v>
      </c>
      <c r="F93" s="10">
        <v>0.0</v>
      </c>
      <c r="G93" s="10">
        <v>0.0</v>
      </c>
      <c r="H93" s="14">
        <v>1.0</v>
      </c>
      <c r="I93" s="7">
        <f t="shared" si="1"/>
        <v>-1</v>
      </c>
      <c r="J93" s="10" t="str">
        <f>IF(MAX(B93,E93)&gt;=Thresholds!$C$7,"Tier 3 - High",IF(MAX(B93,E93)&gt;=Thresholds!$C$6,"Tier 2 - Moderate","Tier 1 - Low"))</f>
        <v>Tier 1 - Low</v>
      </c>
      <c r="K93" s="7" t="str">
        <f t="shared" si="2"/>
        <v>Low Volume - Setup Needed</v>
      </c>
      <c r="L93" s="10" t="str">
        <f t="shared" si="3"/>
        <v>Low/no B2B traffic yet - set a Business Price (5-10% below retail) and Quantity Discount tiers (e.g. 5+ units 5% off, 10+ units 10% off) to attract first B2B interest; add bulk/case-pack info to title and bullets</v>
      </c>
    </row>
    <row r="94" ht="14.25" customHeight="1">
      <c r="A94" s="10" t="s">
        <v>129</v>
      </c>
      <c r="B94" s="10">
        <v>1.0</v>
      </c>
      <c r="C94" s="10">
        <v>1.0</v>
      </c>
      <c r="D94" s="10">
        <v>0.0</v>
      </c>
      <c r="E94" s="10">
        <v>0.0</v>
      </c>
      <c r="F94" s="10">
        <v>0.0</v>
      </c>
      <c r="G94" s="10">
        <v>0.0</v>
      </c>
      <c r="H94" s="14">
        <v>1.0</v>
      </c>
      <c r="I94" s="7">
        <f t="shared" si="1"/>
        <v>-1</v>
      </c>
      <c r="J94" s="10" t="str">
        <f>IF(MAX(B94,E94)&gt;=Thresholds!$C$7,"Tier 3 - High",IF(MAX(B94,E94)&gt;=Thresholds!$C$6,"Tier 2 - Moderate","Tier 1 - Low"))</f>
        <v>Tier 1 - Low</v>
      </c>
      <c r="K94" s="7" t="str">
        <f t="shared" si="2"/>
        <v>Low Volume - Setup Needed</v>
      </c>
      <c r="L94" s="10" t="str">
        <f t="shared" si="3"/>
        <v>Low/no B2B traffic yet - set a Business Price (5-10% below retail) and Quantity Discount tiers (e.g. 5+ units 5% off, 10+ units 10% off) to attract first B2B interest; add bulk/case-pack info to title and bullets</v>
      </c>
    </row>
    <row r="95" ht="14.25" customHeight="1">
      <c r="A95" s="10" t="s">
        <v>130</v>
      </c>
      <c r="B95" s="10">
        <v>1.0</v>
      </c>
      <c r="C95" s="10">
        <v>1.0</v>
      </c>
      <c r="D95" s="10">
        <v>0.0</v>
      </c>
      <c r="E95" s="10">
        <v>0.0</v>
      </c>
      <c r="F95" s="10">
        <v>0.0</v>
      </c>
      <c r="G95" s="10">
        <v>0.0</v>
      </c>
      <c r="H95" s="14">
        <v>1.0</v>
      </c>
      <c r="I95" s="7">
        <f t="shared" si="1"/>
        <v>-1</v>
      </c>
      <c r="J95" s="10" t="str">
        <f>IF(MAX(B95,E95)&gt;=Thresholds!$C$7,"Tier 3 - High",IF(MAX(B95,E95)&gt;=Thresholds!$C$6,"Tier 2 - Moderate","Tier 1 - Low"))</f>
        <v>Tier 1 - Low</v>
      </c>
      <c r="K95" s="7" t="str">
        <f t="shared" si="2"/>
        <v>Low Volume - Setup Needed</v>
      </c>
      <c r="L95" s="10" t="str">
        <f t="shared" si="3"/>
        <v>Low/no B2B traffic yet - set a Business Price (5-10% below retail) and Quantity Discount tiers (e.g. 5+ units 5% off, 10+ units 10% off) to attract first B2B interest; add bulk/case-pack info to title and bullets</v>
      </c>
    </row>
    <row r="96" ht="14.25" customHeight="1">
      <c r="A96" s="10" t="s">
        <v>131</v>
      </c>
      <c r="B96" s="10">
        <v>2.0</v>
      </c>
      <c r="C96" s="10">
        <v>2.0</v>
      </c>
      <c r="D96" s="10">
        <v>0.0</v>
      </c>
      <c r="E96" s="10">
        <v>1.0</v>
      </c>
      <c r="F96" s="10">
        <v>1.0</v>
      </c>
      <c r="G96" s="10">
        <v>0.0</v>
      </c>
      <c r="H96" s="14">
        <v>1.0</v>
      </c>
      <c r="I96" s="7">
        <f t="shared" si="1"/>
        <v>-1</v>
      </c>
      <c r="J96" s="10" t="str">
        <f>IF(MAX(B96,E96)&gt;=Thresholds!$C$7,"Tier 3 - High",IF(MAX(B96,E96)&gt;=Thresholds!$C$6,"Tier 2 - Moderate","Tier 1 - Low"))</f>
        <v>Tier 1 - Low</v>
      </c>
      <c r="K96" s="7" t="str">
        <f t="shared" si="2"/>
        <v>Low Volume - Setup Needed</v>
      </c>
      <c r="L96" s="10" t="str">
        <f t="shared" si="3"/>
        <v>Low/no B2B traffic yet - set a Business Price (5-10% below retail) and Quantity Discount tiers (e.g. 5+ units 5% off, 10+ units 10% off) to attract first B2B interest; add bulk/case-pack info to title and bullets</v>
      </c>
    </row>
    <row r="97" ht="14.25" customHeight="1">
      <c r="A97" s="10" t="s">
        <v>132</v>
      </c>
      <c r="B97" s="10">
        <v>1.0</v>
      </c>
      <c r="C97" s="10">
        <v>1.0</v>
      </c>
      <c r="D97" s="10">
        <v>0.0</v>
      </c>
      <c r="E97" s="10">
        <v>0.0</v>
      </c>
      <c r="F97" s="10">
        <v>0.0</v>
      </c>
      <c r="G97" s="10">
        <v>0.0</v>
      </c>
      <c r="H97" s="14">
        <v>0.0</v>
      </c>
      <c r="I97" s="7">
        <f t="shared" si="1"/>
        <v>-1</v>
      </c>
      <c r="J97" s="10" t="str">
        <f>IF(MAX(B97,E97)&gt;=Thresholds!$C$7,"Tier 3 - High",IF(MAX(B97,E97)&gt;=Thresholds!$C$6,"Tier 2 - Moderate","Tier 1 - Low"))</f>
        <v>Tier 1 - Low</v>
      </c>
      <c r="K97" s="7" t="str">
        <f t="shared" si="2"/>
        <v>Low Volume - Setup Needed</v>
      </c>
      <c r="L97" s="10" t="str">
        <f t="shared" si="3"/>
        <v>Low/no B2B traffic yet - set a Business Price (5-10% below retail) and Quantity Discount tiers (e.g. 5+ units 5% off, 10+ units 10% off) to attract first B2B interest; add bulk/case-pack info to title and bullets</v>
      </c>
    </row>
    <row r="98" ht="14.25" customHeight="1">
      <c r="A98" s="10" t="s">
        <v>133</v>
      </c>
      <c r="B98" s="10">
        <v>1.0</v>
      </c>
      <c r="C98" s="10">
        <v>1.0</v>
      </c>
      <c r="D98" s="10">
        <v>0.0</v>
      </c>
      <c r="E98" s="10">
        <v>0.0</v>
      </c>
      <c r="F98" s="10">
        <v>0.0</v>
      </c>
      <c r="G98" s="10">
        <v>0.0</v>
      </c>
      <c r="H98" s="14">
        <v>0.9706</v>
      </c>
      <c r="I98" s="7">
        <f t="shared" si="1"/>
        <v>-1</v>
      </c>
      <c r="J98" s="10" t="str">
        <f>IF(MAX(B98,E98)&gt;=Thresholds!$C$7,"Tier 3 - High",IF(MAX(B98,E98)&gt;=Thresholds!$C$6,"Tier 2 - Moderate","Tier 1 - Low"))</f>
        <v>Tier 1 - Low</v>
      </c>
      <c r="K98" s="7" t="str">
        <f t="shared" si="2"/>
        <v>Low Volume - Setup Needed</v>
      </c>
      <c r="L98" s="10" t="str">
        <f t="shared" si="3"/>
        <v>Low/no B2B traffic yet - set a Business Price (5-10% below retail) and Quantity Discount tiers (e.g. 5+ units 5% off, 10+ units 10% off) to attract first B2B interest; add bulk/case-pack info to title and bullets</v>
      </c>
    </row>
    <row r="99" ht="14.25" customHeight="1">
      <c r="A99" s="10" t="s">
        <v>134</v>
      </c>
      <c r="B99" s="10">
        <v>1.0</v>
      </c>
      <c r="C99" s="10">
        <v>2.0</v>
      </c>
      <c r="D99" s="10">
        <v>0.0</v>
      </c>
      <c r="E99" s="10">
        <v>0.0</v>
      </c>
      <c r="F99" s="10">
        <v>0.0</v>
      </c>
      <c r="G99" s="10">
        <v>0.0</v>
      </c>
      <c r="H99" s="14">
        <v>0.9733</v>
      </c>
      <c r="I99" s="7">
        <f t="shared" si="1"/>
        <v>-1</v>
      </c>
      <c r="J99" s="10" t="str">
        <f>IF(MAX(B99,E99)&gt;=Thresholds!$C$7,"Tier 3 - High",IF(MAX(B99,E99)&gt;=Thresholds!$C$6,"Tier 2 - Moderate","Tier 1 - Low"))</f>
        <v>Tier 1 - Low</v>
      </c>
      <c r="K99" s="7" t="str">
        <f t="shared" si="2"/>
        <v>Low Volume - Setup Needed</v>
      </c>
      <c r="L99" s="10" t="str">
        <f t="shared" si="3"/>
        <v>Low/no B2B traffic yet - set a Business Price (5-10% below retail) and Quantity Discount tiers (e.g. 5+ units 5% off, 10+ units 10% off) to attract first B2B interest; add bulk/case-pack info to title and bullets</v>
      </c>
    </row>
    <row r="100" ht="14.25" customHeight="1">
      <c r="A100" s="10" t="s">
        <v>135</v>
      </c>
      <c r="B100" s="10">
        <v>1.0</v>
      </c>
      <c r="C100" s="10">
        <v>1.0</v>
      </c>
      <c r="D100" s="10">
        <v>0.0</v>
      </c>
      <c r="E100" s="10">
        <v>0.0</v>
      </c>
      <c r="F100" s="10">
        <v>0.0</v>
      </c>
      <c r="G100" s="10">
        <v>0.0</v>
      </c>
      <c r="H100" s="14">
        <v>0.9355</v>
      </c>
      <c r="I100" s="7">
        <f t="shared" si="1"/>
        <v>-1</v>
      </c>
      <c r="J100" s="10" t="str">
        <f>IF(MAX(B100,E100)&gt;=Thresholds!$C$7,"Tier 3 - High",IF(MAX(B100,E100)&gt;=Thresholds!$C$6,"Tier 2 - Moderate","Tier 1 - Low"))</f>
        <v>Tier 1 - Low</v>
      </c>
      <c r="K100" s="7" t="str">
        <f t="shared" si="2"/>
        <v>Low Volume - Setup Needed</v>
      </c>
      <c r="L100" s="10" t="str">
        <f t="shared" si="3"/>
        <v>Low/no B2B traffic yet - set a Business Price (5-10% below retail) and Quantity Discount tiers (e.g. 5+ units 5% off, 10+ units 10% off) to attract first B2B interest; add bulk/case-pack info to title and bullets</v>
      </c>
    </row>
    <row r="101" ht="14.25" customHeight="1">
      <c r="A101" s="10" t="s">
        <v>136</v>
      </c>
      <c r="B101" s="10">
        <v>2.0</v>
      </c>
      <c r="C101" s="10">
        <v>2.0</v>
      </c>
      <c r="D101" s="10">
        <v>0.0</v>
      </c>
      <c r="E101" s="10">
        <v>1.0</v>
      </c>
      <c r="F101" s="10">
        <v>1.0</v>
      </c>
      <c r="G101" s="10">
        <v>0.0</v>
      </c>
      <c r="H101" s="14">
        <v>0.8992</v>
      </c>
      <c r="I101" s="7">
        <f t="shared" si="1"/>
        <v>-1</v>
      </c>
      <c r="J101" s="10" t="str">
        <f>IF(MAX(B101,E101)&gt;=Thresholds!$C$7,"Tier 3 - High",IF(MAX(B101,E101)&gt;=Thresholds!$C$6,"Tier 2 - Moderate","Tier 1 - Low"))</f>
        <v>Tier 1 - Low</v>
      </c>
      <c r="K101" s="7" t="str">
        <f t="shared" si="2"/>
        <v>Low Volume - Setup Needed</v>
      </c>
      <c r="L101" s="10" t="str">
        <f t="shared" si="3"/>
        <v>Low/no B2B traffic yet - set a Business Price (5-10% below retail) and Quantity Discount tiers (e.g. 5+ units 5% off, 10+ units 10% off) to attract first B2B interest; add bulk/case-pack info to title and bullets</v>
      </c>
    </row>
    <row r="102" ht="14.25" customHeight="1">
      <c r="A102" s="10" t="s">
        <v>137</v>
      </c>
      <c r="B102" s="10">
        <v>1.0</v>
      </c>
      <c r="C102" s="10">
        <v>1.0</v>
      </c>
      <c r="D102" s="10">
        <v>0.0</v>
      </c>
      <c r="E102" s="10">
        <v>0.0</v>
      </c>
      <c r="F102" s="10">
        <v>0.0</v>
      </c>
      <c r="G102" s="10">
        <v>0.0</v>
      </c>
      <c r="H102" s="14">
        <v>1.0</v>
      </c>
      <c r="I102" s="7">
        <f t="shared" si="1"/>
        <v>-1</v>
      </c>
      <c r="J102" s="10" t="str">
        <f>IF(MAX(B102,E102)&gt;=Thresholds!$C$7,"Tier 3 - High",IF(MAX(B102,E102)&gt;=Thresholds!$C$6,"Tier 2 - Moderate","Tier 1 - Low"))</f>
        <v>Tier 1 - Low</v>
      </c>
      <c r="K102" s="7" t="str">
        <f t="shared" si="2"/>
        <v>Low Volume - Setup Needed</v>
      </c>
      <c r="L102" s="10" t="str">
        <f t="shared" si="3"/>
        <v>Low/no B2B traffic yet - set a Business Price (5-10% below retail) and Quantity Discount tiers (e.g. 5+ units 5% off, 10+ units 10% off) to attract first B2B interest; add bulk/case-pack info to title and bullets</v>
      </c>
    </row>
    <row r="103" ht="14.25" customHeight="1">
      <c r="A103" s="10" t="s">
        <v>138</v>
      </c>
      <c r="B103" s="10">
        <v>1.0</v>
      </c>
      <c r="C103" s="10">
        <v>1.0</v>
      </c>
      <c r="D103" s="10">
        <v>0.0</v>
      </c>
      <c r="E103" s="10">
        <v>0.0</v>
      </c>
      <c r="F103" s="10">
        <v>0.0</v>
      </c>
      <c r="G103" s="10">
        <v>0.0</v>
      </c>
      <c r="H103" s="14">
        <v>0.0</v>
      </c>
      <c r="I103" s="7">
        <f t="shared" si="1"/>
        <v>-1</v>
      </c>
      <c r="J103" s="10" t="str">
        <f>IF(MAX(B103,E103)&gt;=Thresholds!$C$7,"Tier 3 - High",IF(MAX(B103,E103)&gt;=Thresholds!$C$6,"Tier 2 - Moderate","Tier 1 - Low"))</f>
        <v>Tier 1 - Low</v>
      </c>
      <c r="K103" s="7" t="str">
        <f t="shared" si="2"/>
        <v>Low Volume - Setup Needed</v>
      </c>
      <c r="L103" s="10" t="str">
        <f t="shared" si="3"/>
        <v>Low/no B2B traffic yet - set a Business Price (5-10% below retail) and Quantity Discount tiers (e.g. 5+ units 5% off, 10+ units 10% off) to attract first B2B interest; add bulk/case-pack info to title and bullets</v>
      </c>
    </row>
    <row r="104" ht="14.25" customHeight="1">
      <c r="A104" s="10" t="s">
        <v>139</v>
      </c>
      <c r="B104" s="10">
        <v>1.0</v>
      </c>
      <c r="C104" s="10">
        <v>1.0</v>
      </c>
      <c r="D104" s="10">
        <v>0.0</v>
      </c>
      <c r="E104" s="10">
        <v>0.0</v>
      </c>
      <c r="F104" s="10">
        <v>0.0</v>
      </c>
      <c r="G104" s="10">
        <v>0.0</v>
      </c>
      <c r="H104" s="14">
        <v>0.0</v>
      </c>
      <c r="I104" s="7">
        <f t="shared" si="1"/>
        <v>-1</v>
      </c>
      <c r="J104" s="10" t="str">
        <f>IF(MAX(B104,E104)&gt;=Thresholds!$C$7,"Tier 3 - High",IF(MAX(B104,E104)&gt;=Thresholds!$C$6,"Tier 2 - Moderate","Tier 1 - Low"))</f>
        <v>Tier 1 - Low</v>
      </c>
      <c r="K104" s="7" t="str">
        <f t="shared" si="2"/>
        <v>Low Volume - Setup Needed</v>
      </c>
      <c r="L104" s="10" t="str">
        <f t="shared" si="3"/>
        <v>Low/no B2B traffic yet - set a Business Price (5-10% below retail) and Quantity Discount tiers (e.g. 5+ units 5% off, 10+ units 10% off) to attract first B2B interest; add bulk/case-pack info to title and bullets</v>
      </c>
    </row>
    <row r="105" ht="14.25" customHeight="1">
      <c r="A105" s="10" t="s">
        <v>140</v>
      </c>
      <c r="B105" s="10">
        <v>1.0</v>
      </c>
      <c r="C105" s="10">
        <v>1.0</v>
      </c>
      <c r="D105" s="10">
        <v>0.0</v>
      </c>
      <c r="E105" s="10">
        <v>0.0</v>
      </c>
      <c r="F105" s="10">
        <v>0.0</v>
      </c>
      <c r="G105" s="10">
        <v>0.0</v>
      </c>
      <c r="H105" s="14">
        <v>1.0</v>
      </c>
      <c r="I105" s="7">
        <f t="shared" si="1"/>
        <v>-1</v>
      </c>
      <c r="J105" s="10" t="str">
        <f>IF(MAX(B105,E105)&gt;=Thresholds!$C$7,"Tier 3 - High",IF(MAX(B105,E105)&gt;=Thresholds!$C$6,"Tier 2 - Moderate","Tier 1 - Low"))</f>
        <v>Tier 1 - Low</v>
      </c>
      <c r="K105" s="7" t="str">
        <f t="shared" si="2"/>
        <v>Low Volume - Setup Needed</v>
      </c>
      <c r="L105" s="10" t="str">
        <f t="shared" si="3"/>
        <v>Low/no B2B traffic yet - set a Business Price (5-10% below retail) and Quantity Discount tiers (e.g. 5+ units 5% off, 10+ units 10% off) to attract first B2B interest; add bulk/case-pack info to title and bullets</v>
      </c>
    </row>
    <row r="106" ht="14.25" customHeight="1">
      <c r="A106" s="10" t="s">
        <v>141</v>
      </c>
      <c r="B106" s="10">
        <v>1.0</v>
      </c>
      <c r="C106" s="10">
        <v>1.0</v>
      </c>
      <c r="D106" s="10">
        <v>0.0</v>
      </c>
      <c r="E106" s="10">
        <v>0.0</v>
      </c>
      <c r="F106" s="10">
        <v>0.0</v>
      </c>
      <c r="G106" s="10">
        <v>0.0</v>
      </c>
      <c r="H106" s="14">
        <v>1.0</v>
      </c>
      <c r="I106" s="7">
        <f t="shared" si="1"/>
        <v>-1</v>
      </c>
      <c r="J106" s="10" t="str">
        <f>IF(MAX(B106,E106)&gt;=Thresholds!$C$7,"Tier 3 - High",IF(MAX(B106,E106)&gt;=Thresholds!$C$6,"Tier 2 - Moderate","Tier 1 - Low"))</f>
        <v>Tier 1 - Low</v>
      </c>
      <c r="K106" s="7" t="str">
        <f t="shared" si="2"/>
        <v>Low Volume - Setup Needed</v>
      </c>
      <c r="L106" s="10" t="str">
        <f t="shared" si="3"/>
        <v>Low/no B2B traffic yet - set a Business Price (5-10% below retail) and Quantity Discount tiers (e.g. 5+ units 5% off, 10+ units 10% off) to attract first B2B interest; add bulk/case-pack info to title and bullets</v>
      </c>
    </row>
    <row r="107" ht="14.25" customHeight="1">
      <c r="A107" s="10" t="s">
        <v>142</v>
      </c>
      <c r="B107" s="10">
        <v>1.0</v>
      </c>
      <c r="C107" s="10">
        <v>1.0</v>
      </c>
      <c r="D107" s="10">
        <v>0.0</v>
      </c>
      <c r="E107" s="10">
        <v>0.0</v>
      </c>
      <c r="F107" s="10">
        <v>0.0</v>
      </c>
      <c r="G107" s="10">
        <v>0.0</v>
      </c>
      <c r="H107" s="14">
        <v>0.9211</v>
      </c>
      <c r="I107" s="7">
        <f t="shared" si="1"/>
        <v>-1</v>
      </c>
      <c r="J107" s="10" t="str">
        <f>IF(MAX(B107,E107)&gt;=Thresholds!$C$7,"Tier 3 - High",IF(MAX(B107,E107)&gt;=Thresholds!$C$6,"Tier 2 - Moderate","Tier 1 - Low"))</f>
        <v>Tier 1 - Low</v>
      </c>
      <c r="K107" s="7" t="str">
        <f t="shared" si="2"/>
        <v>Low Volume - Setup Needed</v>
      </c>
      <c r="L107" s="10" t="str">
        <f t="shared" si="3"/>
        <v>Low/no B2B traffic yet - set a Business Price (5-10% below retail) and Quantity Discount tiers (e.g. 5+ units 5% off, 10+ units 10% off) to attract first B2B interest; add bulk/case-pack info to title and bullets</v>
      </c>
    </row>
    <row r="108" ht="14.25" customHeight="1">
      <c r="A108" s="10" t="s">
        <v>143</v>
      </c>
      <c r="B108" s="10">
        <v>1.0</v>
      </c>
      <c r="C108" s="10">
        <v>2.0</v>
      </c>
      <c r="D108" s="10">
        <v>0.0</v>
      </c>
      <c r="E108" s="10">
        <v>0.0</v>
      </c>
      <c r="F108" s="10">
        <v>0.0</v>
      </c>
      <c r="G108" s="10">
        <v>0.0</v>
      </c>
      <c r="H108" s="14">
        <v>0.9688</v>
      </c>
      <c r="I108" s="7">
        <f t="shared" si="1"/>
        <v>-1</v>
      </c>
      <c r="J108" s="10" t="str">
        <f>IF(MAX(B108,E108)&gt;=Thresholds!$C$7,"Tier 3 - High",IF(MAX(B108,E108)&gt;=Thresholds!$C$6,"Tier 2 - Moderate","Tier 1 - Low"))</f>
        <v>Tier 1 - Low</v>
      </c>
      <c r="K108" s="7" t="str">
        <f t="shared" si="2"/>
        <v>Low Volume - Setup Needed</v>
      </c>
      <c r="L108" s="10" t="str">
        <f t="shared" si="3"/>
        <v>Low/no B2B traffic yet - set a Business Price (5-10% below retail) and Quantity Discount tiers (e.g. 5+ units 5% off, 10+ units 10% off) to attract first B2B interest; add bulk/case-pack info to title and bullets</v>
      </c>
    </row>
    <row r="109" ht="14.25" customHeight="1">
      <c r="A109" s="10" t="s">
        <v>144</v>
      </c>
      <c r="B109" s="10">
        <v>1.0</v>
      </c>
      <c r="C109" s="10">
        <v>2.0</v>
      </c>
      <c r="D109" s="10">
        <v>0.0</v>
      </c>
      <c r="E109" s="10">
        <v>0.0</v>
      </c>
      <c r="F109" s="10">
        <v>0.0</v>
      </c>
      <c r="G109" s="10">
        <v>0.0</v>
      </c>
      <c r="H109" s="14">
        <v>1.0</v>
      </c>
      <c r="I109" s="7">
        <f t="shared" si="1"/>
        <v>-1</v>
      </c>
      <c r="J109" s="10" t="str">
        <f>IF(MAX(B109,E109)&gt;=Thresholds!$C$7,"Tier 3 - High",IF(MAX(B109,E109)&gt;=Thresholds!$C$6,"Tier 2 - Moderate","Tier 1 - Low"))</f>
        <v>Tier 1 - Low</v>
      </c>
      <c r="K109" s="7" t="str">
        <f t="shared" si="2"/>
        <v>Low Volume - Setup Needed</v>
      </c>
      <c r="L109" s="10" t="str">
        <f t="shared" si="3"/>
        <v>Low/no B2B traffic yet - set a Business Price (5-10% below retail) and Quantity Discount tiers (e.g. 5+ units 5% off, 10+ units 10% off) to attract first B2B interest; add bulk/case-pack info to title and bullets</v>
      </c>
    </row>
    <row r="110" ht="14.25" customHeight="1">
      <c r="A110" s="10" t="s">
        <v>145</v>
      </c>
      <c r="B110" s="10">
        <v>1.0</v>
      </c>
      <c r="C110" s="10">
        <v>2.0</v>
      </c>
      <c r="D110" s="10">
        <v>0.0</v>
      </c>
      <c r="E110" s="10">
        <v>0.0</v>
      </c>
      <c r="F110" s="10">
        <v>0.0</v>
      </c>
      <c r="G110" s="10">
        <v>0.0</v>
      </c>
      <c r="H110" s="14">
        <v>0.8182</v>
      </c>
      <c r="I110" s="7">
        <f t="shared" si="1"/>
        <v>-1</v>
      </c>
      <c r="J110" s="10" t="str">
        <f>IF(MAX(B110,E110)&gt;=Thresholds!$C$7,"Tier 3 - High",IF(MAX(B110,E110)&gt;=Thresholds!$C$6,"Tier 2 - Moderate","Tier 1 - Low"))</f>
        <v>Tier 1 - Low</v>
      </c>
      <c r="K110" s="7" t="str">
        <f t="shared" si="2"/>
        <v>Low Volume - Setup Needed</v>
      </c>
      <c r="L110" s="10" t="str">
        <f t="shared" si="3"/>
        <v>Low/no B2B traffic yet - set a Business Price (5-10% below retail) and Quantity Discount tiers (e.g. 5+ units 5% off, 10+ units 10% off) to attract first B2B interest; add bulk/case-pack info to title and bullets</v>
      </c>
    </row>
    <row r="111" ht="14.25" customHeight="1">
      <c r="A111" s="10" t="s">
        <v>146</v>
      </c>
      <c r="B111" s="10">
        <v>1.0</v>
      </c>
      <c r="C111" s="10">
        <v>1.0</v>
      </c>
      <c r="D111" s="10">
        <v>0.0</v>
      </c>
      <c r="E111" s="10">
        <v>0.0</v>
      </c>
      <c r="F111" s="10">
        <v>0.0</v>
      </c>
      <c r="G111" s="10">
        <v>0.0</v>
      </c>
      <c r="H111" s="14">
        <v>0.9091</v>
      </c>
      <c r="I111" s="7">
        <f t="shared" si="1"/>
        <v>-1</v>
      </c>
      <c r="J111" s="10" t="str">
        <f>IF(MAX(B111,E111)&gt;=Thresholds!$C$7,"Tier 3 - High",IF(MAX(B111,E111)&gt;=Thresholds!$C$6,"Tier 2 - Moderate","Tier 1 - Low"))</f>
        <v>Tier 1 - Low</v>
      </c>
      <c r="K111" s="7" t="str">
        <f t="shared" si="2"/>
        <v>Low Volume - Setup Needed</v>
      </c>
      <c r="L111" s="10" t="str">
        <f t="shared" si="3"/>
        <v>Low/no B2B traffic yet - set a Business Price (5-10% below retail) and Quantity Discount tiers (e.g. 5+ units 5% off, 10+ units 10% off) to attract first B2B interest; add bulk/case-pack info to title and bullets</v>
      </c>
    </row>
    <row r="112" ht="14.25" customHeight="1">
      <c r="A112" s="10" t="s">
        <v>147</v>
      </c>
      <c r="B112" s="10">
        <v>1.0</v>
      </c>
      <c r="C112" s="10">
        <v>1.0</v>
      </c>
      <c r="D112" s="10">
        <v>0.0</v>
      </c>
      <c r="E112" s="10">
        <v>0.0</v>
      </c>
      <c r="F112" s="10">
        <v>0.0</v>
      </c>
      <c r="G112" s="10">
        <v>0.0</v>
      </c>
      <c r="H112" s="14">
        <v>1.0</v>
      </c>
      <c r="I112" s="7">
        <f t="shared" si="1"/>
        <v>-1</v>
      </c>
      <c r="J112" s="10" t="str">
        <f>IF(MAX(B112,E112)&gt;=Thresholds!$C$7,"Tier 3 - High",IF(MAX(B112,E112)&gt;=Thresholds!$C$6,"Tier 2 - Moderate","Tier 1 - Low"))</f>
        <v>Tier 1 - Low</v>
      </c>
      <c r="K112" s="7" t="str">
        <f t="shared" si="2"/>
        <v>Low Volume - Setup Needed</v>
      </c>
      <c r="L112" s="10" t="str">
        <f t="shared" si="3"/>
        <v>Low/no B2B traffic yet - set a Business Price (5-10% below retail) and Quantity Discount tiers (e.g. 5+ units 5% off, 10+ units 10% off) to attract first B2B interest; add bulk/case-pack info to title and bullets</v>
      </c>
    </row>
    <row r="113" ht="14.25" customHeight="1">
      <c r="A113" s="10" t="s">
        <v>148</v>
      </c>
      <c r="B113" s="10">
        <v>1.0</v>
      </c>
      <c r="C113" s="10">
        <v>6.0</v>
      </c>
      <c r="D113" s="10">
        <v>0.0</v>
      </c>
      <c r="E113" s="10">
        <v>0.0</v>
      </c>
      <c r="F113" s="10">
        <v>0.0</v>
      </c>
      <c r="G113" s="10">
        <v>0.0</v>
      </c>
      <c r="H113" s="14">
        <v>1.0</v>
      </c>
      <c r="I113" s="7">
        <f t="shared" si="1"/>
        <v>-1</v>
      </c>
      <c r="J113" s="10" t="str">
        <f>IF(MAX(B113,E113)&gt;=Thresholds!$C$7,"Tier 3 - High",IF(MAX(B113,E113)&gt;=Thresholds!$C$6,"Tier 2 - Moderate","Tier 1 - Low"))</f>
        <v>Tier 1 - Low</v>
      </c>
      <c r="K113" s="7" t="str">
        <f t="shared" si="2"/>
        <v>Low Volume - Setup Needed</v>
      </c>
      <c r="L113" s="10" t="str">
        <f t="shared" si="3"/>
        <v>Low/no B2B traffic yet - set a Business Price (5-10% below retail) and Quantity Discount tiers (e.g. 5+ units 5% off, 10+ units 10% off) to attract first B2B interest; add bulk/case-pack info to title and bullets</v>
      </c>
    </row>
    <row r="114" ht="14.25" customHeight="1">
      <c r="A114" s="10" t="s">
        <v>149</v>
      </c>
      <c r="B114" s="10">
        <v>1.0</v>
      </c>
      <c r="C114" s="10">
        <v>1.0</v>
      </c>
      <c r="D114" s="10">
        <v>0.0</v>
      </c>
      <c r="E114" s="10">
        <v>0.0</v>
      </c>
      <c r="F114" s="10">
        <v>0.0</v>
      </c>
      <c r="G114" s="10">
        <v>0.0</v>
      </c>
      <c r="H114" s="14">
        <v>1.0</v>
      </c>
      <c r="I114" s="7">
        <f t="shared" si="1"/>
        <v>-1</v>
      </c>
      <c r="J114" s="10" t="str">
        <f>IF(MAX(B114,E114)&gt;=Thresholds!$C$7,"Tier 3 - High",IF(MAX(B114,E114)&gt;=Thresholds!$C$6,"Tier 2 - Moderate","Tier 1 - Low"))</f>
        <v>Tier 1 - Low</v>
      </c>
      <c r="K114" s="7" t="str">
        <f t="shared" si="2"/>
        <v>Low Volume - Setup Needed</v>
      </c>
      <c r="L114" s="10" t="str">
        <f t="shared" si="3"/>
        <v>Low/no B2B traffic yet - set a Business Price (5-10% below retail) and Quantity Discount tiers (e.g. 5+ units 5% off, 10+ units 10% off) to attract first B2B interest; add bulk/case-pack info to title and bullets</v>
      </c>
    </row>
    <row r="115" ht="14.25" customHeight="1">
      <c r="A115" s="10" t="s">
        <v>150</v>
      </c>
      <c r="B115" s="10">
        <v>1.0</v>
      </c>
      <c r="C115" s="10">
        <v>1.0</v>
      </c>
      <c r="D115" s="10">
        <v>0.0</v>
      </c>
      <c r="E115" s="10">
        <v>0.0</v>
      </c>
      <c r="F115" s="10">
        <v>0.0</v>
      </c>
      <c r="G115" s="10">
        <v>0.0</v>
      </c>
      <c r="H115" s="14">
        <v>0.96</v>
      </c>
      <c r="I115" s="7">
        <f t="shared" si="1"/>
        <v>-1</v>
      </c>
      <c r="J115" s="10" t="str">
        <f>IF(MAX(B115,E115)&gt;=Thresholds!$C$7,"Tier 3 - High",IF(MAX(B115,E115)&gt;=Thresholds!$C$6,"Tier 2 - Moderate","Tier 1 - Low"))</f>
        <v>Tier 1 - Low</v>
      </c>
      <c r="K115" s="7" t="str">
        <f t="shared" si="2"/>
        <v>Low Volume - Setup Needed</v>
      </c>
      <c r="L115" s="10" t="str">
        <f t="shared" si="3"/>
        <v>Low/no B2B traffic yet - set a Business Price (5-10% below retail) and Quantity Discount tiers (e.g. 5+ units 5% off, 10+ units 10% off) to attract first B2B interest; add bulk/case-pack info to title and bullets</v>
      </c>
    </row>
    <row r="116" ht="14.25" customHeight="1">
      <c r="A116" s="10" t="s">
        <v>151</v>
      </c>
      <c r="B116" s="10">
        <v>1.0</v>
      </c>
      <c r="C116" s="10">
        <v>1.0</v>
      </c>
      <c r="D116" s="10">
        <v>0.0</v>
      </c>
      <c r="E116" s="10">
        <v>0.0</v>
      </c>
      <c r="F116" s="10">
        <v>0.0</v>
      </c>
      <c r="G116" s="10">
        <v>0.0</v>
      </c>
      <c r="H116" s="14">
        <v>1.0</v>
      </c>
      <c r="I116" s="7">
        <f t="shared" si="1"/>
        <v>-1</v>
      </c>
      <c r="J116" s="10" t="str">
        <f>IF(MAX(B116,E116)&gt;=Thresholds!$C$7,"Tier 3 - High",IF(MAX(B116,E116)&gt;=Thresholds!$C$6,"Tier 2 - Moderate","Tier 1 - Low"))</f>
        <v>Tier 1 - Low</v>
      </c>
      <c r="K116" s="7" t="str">
        <f t="shared" si="2"/>
        <v>Low Volume - Setup Needed</v>
      </c>
      <c r="L116" s="10" t="str">
        <f t="shared" si="3"/>
        <v>Low/no B2B traffic yet - set a Business Price (5-10% below retail) and Quantity Discount tiers (e.g. 5+ units 5% off, 10+ units 10% off) to attract first B2B interest; add bulk/case-pack info to title and bullets</v>
      </c>
    </row>
    <row r="117" ht="14.25" customHeight="1">
      <c r="A117" s="10" t="s">
        <v>152</v>
      </c>
      <c r="B117" s="10">
        <v>1.0</v>
      </c>
      <c r="C117" s="10">
        <v>1.0</v>
      </c>
      <c r="D117" s="10">
        <v>0.0</v>
      </c>
      <c r="E117" s="10">
        <v>0.0</v>
      </c>
      <c r="F117" s="10">
        <v>0.0</v>
      </c>
      <c r="G117" s="10">
        <v>0.0</v>
      </c>
      <c r="H117" s="14">
        <v>1.0</v>
      </c>
      <c r="I117" s="7">
        <f t="shared" si="1"/>
        <v>-1</v>
      </c>
      <c r="J117" s="10" t="str">
        <f>IF(MAX(B117,E117)&gt;=Thresholds!$C$7,"Tier 3 - High",IF(MAX(B117,E117)&gt;=Thresholds!$C$6,"Tier 2 - Moderate","Tier 1 - Low"))</f>
        <v>Tier 1 - Low</v>
      </c>
      <c r="K117" s="7" t="str">
        <f t="shared" si="2"/>
        <v>Low Volume - Setup Needed</v>
      </c>
      <c r="L117" s="10" t="str">
        <f t="shared" si="3"/>
        <v>Low/no B2B traffic yet - set a Business Price (5-10% below retail) and Quantity Discount tiers (e.g. 5+ units 5% off, 10+ units 10% off) to attract first B2B interest; add bulk/case-pack info to title and bullets</v>
      </c>
    </row>
    <row r="118" ht="14.25" customHeight="1">
      <c r="A118" s="10" t="s">
        <v>153</v>
      </c>
      <c r="B118" s="10">
        <v>1.0</v>
      </c>
      <c r="C118" s="10">
        <v>1.0</v>
      </c>
      <c r="D118" s="10">
        <v>0.0</v>
      </c>
      <c r="E118" s="10">
        <v>0.0</v>
      </c>
      <c r="F118" s="10">
        <v>0.0</v>
      </c>
      <c r="G118" s="10">
        <v>0.0</v>
      </c>
      <c r="H118" s="14">
        <v>1.0</v>
      </c>
      <c r="I118" s="7">
        <f t="shared" si="1"/>
        <v>-1</v>
      </c>
      <c r="J118" s="10" t="str">
        <f>IF(MAX(B118,E118)&gt;=Thresholds!$C$7,"Tier 3 - High",IF(MAX(B118,E118)&gt;=Thresholds!$C$6,"Tier 2 - Moderate","Tier 1 - Low"))</f>
        <v>Tier 1 - Low</v>
      </c>
      <c r="K118" s="7" t="str">
        <f t="shared" si="2"/>
        <v>Low Volume - Setup Needed</v>
      </c>
      <c r="L118" s="10" t="str">
        <f t="shared" si="3"/>
        <v>Low/no B2B traffic yet - set a Business Price (5-10% below retail) and Quantity Discount tiers (e.g. 5+ units 5% off, 10+ units 10% off) to attract first B2B interest; add bulk/case-pack info to title and bullets</v>
      </c>
    </row>
    <row r="119" ht="14.25" customHeight="1">
      <c r="A119" s="10" t="s">
        <v>154</v>
      </c>
      <c r="B119" s="10">
        <v>1.0</v>
      </c>
      <c r="C119" s="10">
        <v>2.0</v>
      </c>
      <c r="D119" s="10">
        <v>0.0</v>
      </c>
      <c r="E119" s="10">
        <v>0.0</v>
      </c>
      <c r="F119" s="10">
        <v>0.0</v>
      </c>
      <c r="G119" s="10">
        <v>0.0</v>
      </c>
      <c r="H119" s="14">
        <v>0.0</v>
      </c>
      <c r="I119" s="7">
        <f t="shared" si="1"/>
        <v>-1</v>
      </c>
      <c r="J119" s="10" t="str">
        <f>IF(MAX(B119,E119)&gt;=Thresholds!$C$7,"Tier 3 - High",IF(MAX(B119,E119)&gt;=Thresholds!$C$6,"Tier 2 - Moderate","Tier 1 - Low"))</f>
        <v>Tier 1 - Low</v>
      </c>
      <c r="K119" s="7" t="str">
        <f t="shared" si="2"/>
        <v>Low Volume - Setup Needed</v>
      </c>
      <c r="L119" s="10" t="str">
        <f t="shared" si="3"/>
        <v>Low/no B2B traffic yet - set a Business Price (5-10% below retail) and Quantity Discount tiers (e.g. 5+ units 5% off, 10+ units 10% off) to attract first B2B interest; add bulk/case-pack info to title and bullets</v>
      </c>
    </row>
    <row r="120" ht="14.25" customHeight="1">
      <c r="A120" s="10" t="s">
        <v>155</v>
      </c>
      <c r="B120" s="10">
        <v>1.0</v>
      </c>
      <c r="C120" s="10">
        <v>1.0</v>
      </c>
      <c r="D120" s="10">
        <v>0.0</v>
      </c>
      <c r="E120" s="10">
        <v>0.0</v>
      </c>
      <c r="F120" s="10">
        <v>0.0</v>
      </c>
      <c r="G120" s="10">
        <v>0.0</v>
      </c>
      <c r="H120" s="14">
        <v>0.9375</v>
      </c>
      <c r="I120" s="7">
        <f t="shared" si="1"/>
        <v>-1</v>
      </c>
      <c r="J120" s="10" t="str">
        <f>IF(MAX(B120,E120)&gt;=Thresholds!$C$7,"Tier 3 - High",IF(MAX(B120,E120)&gt;=Thresholds!$C$6,"Tier 2 - Moderate","Tier 1 - Low"))</f>
        <v>Tier 1 - Low</v>
      </c>
      <c r="K120" s="7" t="str">
        <f t="shared" si="2"/>
        <v>Low Volume - Setup Needed</v>
      </c>
      <c r="L120" s="10" t="str">
        <f t="shared" si="3"/>
        <v>Low/no B2B traffic yet - set a Business Price (5-10% below retail) and Quantity Discount tiers (e.g. 5+ units 5% off, 10+ units 10% off) to attract first B2B interest; add bulk/case-pack info to title and bullets</v>
      </c>
    </row>
    <row r="121" ht="14.25" customHeight="1">
      <c r="A121" s="10" t="s">
        <v>156</v>
      </c>
      <c r="B121" s="10">
        <v>1.0</v>
      </c>
      <c r="C121" s="10">
        <v>1.0</v>
      </c>
      <c r="D121" s="10">
        <v>0.0</v>
      </c>
      <c r="E121" s="10">
        <v>0.0</v>
      </c>
      <c r="F121" s="10">
        <v>0.0</v>
      </c>
      <c r="G121" s="10">
        <v>0.0</v>
      </c>
      <c r="H121" s="14">
        <v>1.0</v>
      </c>
      <c r="I121" s="7">
        <f t="shared" si="1"/>
        <v>-1</v>
      </c>
      <c r="J121" s="10" t="str">
        <f>IF(MAX(B121,E121)&gt;=Thresholds!$C$7,"Tier 3 - High",IF(MAX(B121,E121)&gt;=Thresholds!$C$6,"Tier 2 - Moderate","Tier 1 - Low"))</f>
        <v>Tier 1 - Low</v>
      </c>
      <c r="K121" s="7" t="str">
        <f t="shared" si="2"/>
        <v>Low Volume - Setup Needed</v>
      </c>
      <c r="L121" s="10" t="str">
        <f t="shared" si="3"/>
        <v>Low/no B2B traffic yet - set a Business Price (5-10% below retail) and Quantity Discount tiers (e.g. 5+ units 5% off, 10+ units 10% off) to attract first B2B interest; add bulk/case-pack info to title and bullets</v>
      </c>
    </row>
    <row r="122" ht="14.25" customHeight="1">
      <c r="A122" s="10" t="s">
        <v>157</v>
      </c>
      <c r="B122" s="10">
        <v>5.0</v>
      </c>
      <c r="C122" s="10">
        <v>6.0</v>
      </c>
      <c r="D122" s="10">
        <v>0.0</v>
      </c>
      <c r="E122" s="10">
        <v>4.0</v>
      </c>
      <c r="F122" s="10">
        <v>8.0</v>
      </c>
      <c r="G122" s="10">
        <v>0.0</v>
      </c>
      <c r="H122" s="14">
        <v>1.0</v>
      </c>
      <c r="I122" s="7">
        <f t="shared" si="1"/>
        <v>-1</v>
      </c>
      <c r="J122" s="10" t="str">
        <f>IF(MAX(B122,E122)&gt;=Thresholds!$C$7,"Tier 3 - High",IF(MAX(B122,E122)&gt;=Thresholds!$C$6,"Tier 2 - Moderate","Tier 1 - Low"))</f>
        <v>Tier 2 - Moderate</v>
      </c>
      <c r="K122" s="7" t="str">
        <f t="shared" si="2"/>
        <v>Moderate - Review</v>
      </c>
      <c r="L122" s="10" t="str">
        <f t="shared" si="3"/>
        <v>Light check - Buy Box %, confirm Business Price/Quantity Discount still active, quick scan of title and main image</v>
      </c>
    </row>
    <row r="123" ht="14.25" customHeight="1">
      <c r="A123" s="10" t="s">
        <v>158</v>
      </c>
      <c r="B123" s="10">
        <v>1.0</v>
      </c>
      <c r="C123" s="10">
        <v>1.0</v>
      </c>
      <c r="D123" s="10">
        <v>0.0</v>
      </c>
      <c r="E123" s="10">
        <v>0.0</v>
      </c>
      <c r="F123" s="10">
        <v>0.0</v>
      </c>
      <c r="G123" s="10">
        <v>0.0</v>
      </c>
      <c r="H123" s="14">
        <v>0.5</v>
      </c>
      <c r="I123" s="7">
        <f t="shared" si="1"/>
        <v>-1</v>
      </c>
      <c r="J123" s="10" t="str">
        <f>IF(MAX(B123,E123)&gt;=Thresholds!$C$7,"Tier 3 - High",IF(MAX(B123,E123)&gt;=Thresholds!$C$6,"Tier 2 - Moderate","Tier 1 - Low"))</f>
        <v>Tier 1 - Low</v>
      </c>
      <c r="K123" s="7" t="str">
        <f t="shared" si="2"/>
        <v>Low Volume - Setup Needed</v>
      </c>
      <c r="L123" s="10" t="str">
        <f t="shared" si="3"/>
        <v>Low/no B2B traffic yet - set a Business Price (5-10% below retail) and Quantity Discount tiers (e.g. 5+ units 5% off, 10+ units 10% off) to attract first B2B interest; add bulk/case-pack info to title and bullets</v>
      </c>
    </row>
    <row r="124" ht="14.25" customHeight="1">
      <c r="A124" s="10" t="s">
        <v>159</v>
      </c>
      <c r="B124" s="10">
        <v>1.0</v>
      </c>
      <c r="C124" s="10">
        <v>1.0</v>
      </c>
      <c r="D124" s="10">
        <v>0.0</v>
      </c>
      <c r="E124" s="10">
        <v>0.0</v>
      </c>
      <c r="F124" s="10">
        <v>0.0</v>
      </c>
      <c r="G124" s="10">
        <v>0.0</v>
      </c>
      <c r="H124" s="14">
        <v>0.7143</v>
      </c>
      <c r="I124" s="7">
        <f t="shared" si="1"/>
        <v>-1</v>
      </c>
      <c r="J124" s="10" t="str">
        <f>IF(MAX(B124,E124)&gt;=Thresholds!$C$7,"Tier 3 - High",IF(MAX(B124,E124)&gt;=Thresholds!$C$6,"Tier 2 - Moderate","Tier 1 - Low"))</f>
        <v>Tier 1 - Low</v>
      </c>
      <c r="K124" s="7" t="str">
        <f t="shared" si="2"/>
        <v>Low Volume - Setup Needed</v>
      </c>
      <c r="L124" s="10" t="str">
        <f t="shared" si="3"/>
        <v>Low/no B2B traffic yet - set a Business Price (5-10% below retail) and Quantity Discount tiers (e.g. 5+ units 5% off, 10+ units 10% off) to attract first B2B interest; add bulk/case-pack info to title and bullets</v>
      </c>
    </row>
    <row r="125" ht="14.25" customHeight="1">
      <c r="A125" s="10" t="s">
        <v>160</v>
      </c>
      <c r="B125" s="10">
        <v>1.0</v>
      </c>
      <c r="C125" s="10">
        <v>1.0</v>
      </c>
      <c r="D125" s="10">
        <v>0.0</v>
      </c>
      <c r="E125" s="10">
        <v>0.0</v>
      </c>
      <c r="F125" s="10">
        <v>0.0</v>
      </c>
      <c r="G125" s="10">
        <v>0.0</v>
      </c>
      <c r="H125" s="14">
        <v>0.0</v>
      </c>
      <c r="I125" s="7">
        <f t="shared" si="1"/>
        <v>-1</v>
      </c>
      <c r="J125" s="10" t="str">
        <f>IF(MAX(B125,E125)&gt;=Thresholds!$C$7,"Tier 3 - High",IF(MAX(B125,E125)&gt;=Thresholds!$C$6,"Tier 2 - Moderate","Tier 1 - Low"))</f>
        <v>Tier 1 - Low</v>
      </c>
      <c r="K125" s="7" t="str">
        <f t="shared" si="2"/>
        <v>Low Volume - Setup Needed</v>
      </c>
      <c r="L125" s="10" t="str">
        <f t="shared" si="3"/>
        <v>Low/no B2B traffic yet - set a Business Price (5-10% below retail) and Quantity Discount tiers (e.g. 5+ units 5% off, 10+ units 10% off) to attract first B2B interest; add bulk/case-pack info to title and bullets</v>
      </c>
    </row>
    <row r="126" ht="14.25" customHeight="1">
      <c r="A126" s="10" t="s">
        <v>161</v>
      </c>
      <c r="B126" s="10">
        <v>1.0</v>
      </c>
      <c r="C126" s="10">
        <v>1.0</v>
      </c>
      <c r="D126" s="10">
        <v>0.0</v>
      </c>
      <c r="E126" s="10">
        <v>0.0</v>
      </c>
      <c r="F126" s="10">
        <v>0.0</v>
      </c>
      <c r="G126" s="10">
        <v>0.0</v>
      </c>
      <c r="H126" s="14">
        <v>1.0</v>
      </c>
      <c r="I126" s="7">
        <f t="shared" si="1"/>
        <v>-1</v>
      </c>
      <c r="J126" s="10" t="str">
        <f>IF(MAX(B126,E126)&gt;=Thresholds!$C$7,"Tier 3 - High",IF(MAX(B126,E126)&gt;=Thresholds!$C$6,"Tier 2 - Moderate","Tier 1 - Low"))</f>
        <v>Tier 1 - Low</v>
      </c>
      <c r="K126" s="7" t="str">
        <f t="shared" si="2"/>
        <v>Low Volume - Setup Needed</v>
      </c>
      <c r="L126" s="10" t="str">
        <f t="shared" si="3"/>
        <v>Low/no B2B traffic yet - set a Business Price (5-10% below retail) and Quantity Discount tiers (e.g. 5+ units 5% off, 10+ units 10% off) to attract first B2B interest; add bulk/case-pack info to title and bullets</v>
      </c>
    </row>
    <row r="127" ht="14.25" customHeight="1">
      <c r="A127" s="10" t="s">
        <v>162</v>
      </c>
      <c r="B127" s="10">
        <v>1.0</v>
      </c>
      <c r="C127" s="10">
        <v>2.0</v>
      </c>
      <c r="D127" s="10">
        <v>0.0</v>
      </c>
      <c r="E127" s="10">
        <v>0.0</v>
      </c>
      <c r="F127" s="10">
        <v>0.0</v>
      </c>
      <c r="G127" s="10">
        <v>0.0</v>
      </c>
      <c r="H127" s="14">
        <v>1.0</v>
      </c>
      <c r="I127" s="7">
        <f t="shared" si="1"/>
        <v>-1</v>
      </c>
      <c r="J127" s="10" t="str">
        <f>IF(MAX(B127,E127)&gt;=Thresholds!$C$7,"Tier 3 - High",IF(MAX(B127,E127)&gt;=Thresholds!$C$6,"Tier 2 - Moderate","Tier 1 - Low"))</f>
        <v>Tier 1 - Low</v>
      </c>
      <c r="K127" s="7" t="str">
        <f t="shared" si="2"/>
        <v>Low Volume - Setup Needed</v>
      </c>
      <c r="L127" s="10" t="str">
        <f t="shared" si="3"/>
        <v>Low/no B2B traffic yet - set a Business Price (5-10% below retail) and Quantity Discount tiers (e.g. 5+ units 5% off, 10+ units 10% off) to attract first B2B interest; add bulk/case-pack info to title and bullets</v>
      </c>
    </row>
    <row r="128" ht="14.25" customHeight="1">
      <c r="A128" s="10" t="s">
        <v>163</v>
      </c>
      <c r="B128" s="10">
        <v>1.0</v>
      </c>
      <c r="C128" s="10">
        <v>1.0</v>
      </c>
      <c r="D128" s="10">
        <v>0.0</v>
      </c>
      <c r="E128" s="10">
        <v>0.0</v>
      </c>
      <c r="F128" s="10">
        <v>0.0</v>
      </c>
      <c r="G128" s="10">
        <v>0.0</v>
      </c>
      <c r="H128" s="14">
        <v>0.0</v>
      </c>
      <c r="I128" s="7">
        <f t="shared" si="1"/>
        <v>-1</v>
      </c>
      <c r="J128" s="10" t="str">
        <f>IF(MAX(B128,E128)&gt;=Thresholds!$C$7,"Tier 3 - High",IF(MAX(B128,E128)&gt;=Thresholds!$C$6,"Tier 2 - Moderate","Tier 1 - Low"))</f>
        <v>Tier 1 - Low</v>
      </c>
      <c r="K128" s="7" t="str">
        <f t="shared" si="2"/>
        <v>Low Volume - Setup Needed</v>
      </c>
      <c r="L128" s="10" t="str">
        <f t="shared" si="3"/>
        <v>Low/no B2B traffic yet - set a Business Price (5-10% below retail) and Quantity Discount tiers (e.g. 5+ units 5% off, 10+ units 10% off) to attract first B2B interest; add bulk/case-pack info to title and bullets</v>
      </c>
    </row>
    <row r="129" ht="14.25" customHeight="1">
      <c r="A129" s="10" t="s">
        <v>164</v>
      </c>
      <c r="B129" s="10">
        <v>1.0</v>
      </c>
      <c r="C129" s="10">
        <v>1.0</v>
      </c>
      <c r="D129" s="10">
        <v>0.0</v>
      </c>
      <c r="E129" s="10">
        <v>0.0</v>
      </c>
      <c r="F129" s="10">
        <v>0.0</v>
      </c>
      <c r="G129" s="10">
        <v>0.0</v>
      </c>
      <c r="H129" s="14">
        <v>0.0</v>
      </c>
      <c r="I129" s="7">
        <f t="shared" si="1"/>
        <v>-1</v>
      </c>
      <c r="J129" s="10" t="str">
        <f>IF(MAX(B129,E129)&gt;=Thresholds!$C$7,"Tier 3 - High",IF(MAX(B129,E129)&gt;=Thresholds!$C$6,"Tier 2 - Moderate","Tier 1 - Low"))</f>
        <v>Tier 1 - Low</v>
      </c>
      <c r="K129" s="7" t="str">
        <f t="shared" si="2"/>
        <v>Low Volume - Setup Needed</v>
      </c>
      <c r="L129" s="10" t="str">
        <f t="shared" si="3"/>
        <v>Low/no B2B traffic yet - set a Business Price (5-10% below retail) and Quantity Discount tiers (e.g. 5+ units 5% off, 10+ units 10% off) to attract first B2B interest; add bulk/case-pack info to title and bullets</v>
      </c>
    </row>
    <row r="130" ht="14.25" customHeight="1">
      <c r="A130" s="10" t="s">
        <v>165</v>
      </c>
      <c r="B130" s="10">
        <v>1.0</v>
      </c>
      <c r="C130" s="10">
        <v>1.0</v>
      </c>
      <c r="D130" s="10">
        <v>0.0</v>
      </c>
      <c r="E130" s="10">
        <v>0.0</v>
      </c>
      <c r="F130" s="10">
        <v>0.0</v>
      </c>
      <c r="G130" s="10">
        <v>0.0</v>
      </c>
      <c r="H130" s="14">
        <v>1.0</v>
      </c>
      <c r="I130" s="7">
        <f t="shared" si="1"/>
        <v>-1</v>
      </c>
      <c r="J130" s="10" t="str">
        <f>IF(MAX(B130,E130)&gt;=Thresholds!$C$7,"Tier 3 - High",IF(MAX(B130,E130)&gt;=Thresholds!$C$6,"Tier 2 - Moderate","Tier 1 - Low"))</f>
        <v>Tier 1 - Low</v>
      </c>
      <c r="K130" s="7" t="str">
        <f t="shared" si="2"/>
        <v>Low Volume - Setup Needed</v>
      </c>
      <c r="L130" s="10" t="str">
        <f t="shared" si="3"/>
        <v>Low/no B2B traffic yet - set a Business Price (5-10% below retail) and Quantity Discount tiers (e.g. 5+ units 5% off, 10+ units 10% off) to attract first B2B interest; add bulk/case-pack info to title and bullets</v>
      </c>
    </row>
    <row r="131" ht="14.25" customHeight="1">
      <c r="A131" s="10" t="s">
        <v>166</v>
      </c>
      <c r="B131" s="10">
        <v>1.0</v>
      </c>
      <c r="C131" s="10">
        <v>1.0</v>
      </c>
      <c r="D131" s="10">
        <v>0.0</v>
      </c>
      <c r="E131" s="10">
        <v>0.0</v>
      </c>
      <c r="F131" s="10">
        <v>0.0</v>
      </c>
      <c r="G131" s="10">
        <v>0.0</v>
      </c>
      <c r="H131" s="14">
        <v>1.0</v>
      </c>
      <c r="I131" s="7">
        <f t="shared" si="1"/>
        <v>-1</v>
      </c>
      <c r="J131" s="10" t="str">
        <f>IF(MAX(B131,E131)&gt;=Thresholds!$C$7,"Tier 3 - High",IF(MAX(B131,E131)&gt;=Thresholds!$C$6,"Tier 2 - Moderate","Tier 1 - Low"))</f>
        <v>Tier 1 - Low</v>
      </c>
      <c r="K131" s="7" t="str">
        <f t="shared" si="2"/>
        <v>Low Volume - Setup Needed</v>
      </c>
      <c r="L131" s="10" t="str">
        <f t="shared" si="3"/>
        <v>Low/no B2B traffic yet - set a Business Price (5-10% below retail) and Quantity Discount tiers (e.g. 5+ units 5% off, 10+ units 10% off) to attract first B2B interest; add bulk/case-pack info to title and bullets</v>
      </c>
    </row>
    <row r="132" ht="14.25" customHeight="1">
      <c r="A132" s="10" t="s">
        <v>167</v>
      </c>
      <c r="B132" s="10">
        <v>1.0</v>
      </c>
      <c r="C132" s="10">
        <v>9.0</v>
      </c>
      <c r="D132" s="10">
        <v>0.0</v>
      </c>
      <c r="E132" s="10">
        <v>0.0</v>
      </c>
      <c r="F132" s="10">
        <v>0.0</v>
      </c>
      <c r="G132" s="10">
        <v>0.0</v>
      </c>
      <c r="H132" s="14">
        <v>1.0</v>
      </c>
      <c r="I132" s="7">
        <f t="shared" si="1"/>
        <v>-1</v>
      </c>
      <c r="J132" s="10" t="str">
        <f>IF(MAX(B132,E132)&gt;=Thresholds!$C$7,"Tier 3 - High",IF(MAX(B132,E132)&gt;=Thresholds!$C$6,"Tier 2 - Moderate","Tier 1 - Low"))</f>
        <v>Tier 1 - Low</v>
      </c>
      <c r="K132" s="7" t="str">
        <f t="shared" si="2"/>
        <v>Low Volume - Setup Needed</v>
      </c>
      <c r="L132" s="10" t="str">
        <f t="shared" si="3"/>
        <v>Low/no B2B traffic yet - set a Business Price (5-10% below retail) and Quantity Discount tiers (e.g. 5+ units 5% off, 10+ units 10% off) to attract first B2B interest; add bulk/case-pack info to title and bullets</v>
      </c>
    </row>
    <row r="133" ht="14.25" customHeight="1">
      <c r="A133" s="10" t="s">
        <v>168</v>
      </c>
      <c r="B133" s="10">
        <v>3.0</v>
      </c>
      <c r="C133" s="10">
        <v>3.0</v>
      </c>
      <c r="D133" s="10">
        <v>0.0</v>
      </c>
      <c r="E133" s="10">
        <v>2.0</v>
      </c>
      <c r="F133" s="10">
        <v>4.0</v>
      </c>
      <c r="G133" s="10">
        <v>0.0</v>
      </c>
      <c r="H133" s="14">
        <v>0.1846</v>
      </c>
      <c r="I133" s="7">
        <f t="shared" si="1"/>
        <v>-1</v>
      </c>
      <c r="J133" s="10" t="str">
        <f>IF(MAX(B133,E133)&gt;=Thresholds!$C$7,"Tier 3 - High",IF(MAX(B133,E133)&gt;=Thresholds!$C$6,"Tier 2 - Moderate","Tier 1 - Low"))</f>
        <v>Tier 1 - Low</v>
      </c>
      <c r="K133" s="7" t="str">
        <f t="shared" si="2"/>
        <v>Low Volume - Setup Needed</v>
      </c>
      <c r="L133" s="10" t="str">
        <f t="shared" si="3"/>
        <v>Low/no B2B traffic yet - set a Business Price (5-10% below retail) and Quantity Discount tiers (e.g. 5+ units 5% off, 10+ units 10% off) to attract first B2B interest; add bulk/case-pack info to title and bullets</v>
      </c>
    </row>
    <row r="134" ht="14.25" customHeight="1">
      <c r="A134" s="10" t="s">
        <v>169</v>
      </c>
      <c r="B134" s="10">
        <v>1.0</v>
      </c>
      <c r="C134" s="10">
        <v>2.0</v>
      </c>
      <c r="D134" s="10">
        <v>0.0</v>
      </c>
      <c r="E134" s="10">
        <v>0.0</v>
      </c>
      <c r="F134" s="10">
        <v>0.0</v>
      </c>
      <c r="G134" s="10">
        <v>0.0</v>
      </c>
      <c r="H134" s="14">
        <v>0.0</v>
      </c>
      <c r="I134" s="7">
        <f t="shared" si="1"/>
        <v>-1</v>
      </c>
      <c r="J134" s="10" t="str">
        <f>IF(MAX(B134,E134)&gt;=Thresholds!$C$7,"Tier 3 - High",IF(MAX(B134,E134)&gt;=Thresholds!$C$6,"Tier 2 - Moderate","Tier 1 - Low"))</f>
        <v>Tier 1 - Low</v>
      </c>
      <c r="K134" s="7" t="str">
        <f t="shared" si="2"/>
        <v>Low Volume - Setup Needed</v>
      </c>
      <c r="L134" s="10" t="str">
        <f t="shared" si="3"/>
        <v>Low/no B2B traffic yet - set a Business Price (5-10% below retail) and Quantity Discount tiers (e.g. 5+ units 5% off, 10+ units 10% off) to attract first B2B interest; add bulk/case-pack info to title and bullets</v>
      </c>
    </row>
    <row r="135" ht="14.25" customHeight="1">
      <c r="A135" s="10" t="s">
        <v>170</v>
      </c>
      <c r="B135" s="10">
        <v>1.0</v>
      </c>
      <c r="C135" s="10">
        <v>1.0</v>
      </c>
      <c r="D135" s="10">
        <v>0.0</v>
      </c>
      <c r="E135" s="10">
        <v>0.0</v>
      </c>
      <c r="F135" s="10">
        <v>0.0</v>
      </c>
      <c r="G135" s="10">
        <v>0.0</v>
      </c>
      <c r="H135" s="14">
        <v>0.9286</v>
      </c>
      <c r="I135" s="7">
        <f t="shared" si="1"/>
        <v>-1</v>
      </c>
      <c r="J135" s="10" t="str">
        <f>IF(MAX(B135,E135)&gt;=Thresholds!$C$7,"Tier 3 - High",IF(MAX(B135,E135)&gt;=Thresholds!$C$6,"Tier 2 - Moderate","Tier 1 - Low"))</f>
        <v>Tier 1 - Low</v>
      </c>
      <c r="K135" s="7" t="str">
        <f t="shared" si="2"/>
        <v>Low Volume - Setup Needed</v>
      </c>
      <c r="L135" s="10" t="str">
        <f t="shared" si="3"/>
        <v>Low/no B2B traffic yet - set a Business Price (5-10% below retail) and Quantity Discount tiers (e.g. 5+ units 5% off, 10+ units 10% off) to attract first B2B interest; add bulk/case-pack info to title and bullets</v>
      </c>
    </row>
    <row r="136" ht="14.25" customHeight="1">
      <c r="A136" s="10" t="s">
        <v>171</v>
      </c>
      <c r="B136" s="10">
        <v>1.0</v>
      </c>
      <c r="C136" s="10">
        <v>1.0</v>
      </c>
      <c r="D136" s="10">
        <v>0.0</v>
      </c>
      <c r="E136" s="10">
        <v>0.0</v>
      </c>
      <c r="F136" s="10">
        <v>0.0</v>
      </c>
      <c r="G136" s="10">
        <v>0.0</v>
      </c>
      <c r="H136" s="14">
        <v>0.0</v>
      </c>
      <c r="I136" s="7">
        <f t="shared" si="1"/>
        <v>-1</v>
      </c>
      <c r="J136" s="10" t="str">
        <f>IF(MAX(B136,E136)&gt;=Thresholds!$C$7,"Tier 3 - High",IF(MAX(B136,E136)&gt;=Thresholds!$C$6,"Tier 2 - Moderate","Tier 1 - Low"))</f>
        <v>Tier 1 - Low</v>
      </c>
      <c r="K136" s="7" t="str">
        <f t="shared" si="2"/>
        <v>Low Volume - Setup Needed</v>
      </c>
      <c r="L136" s="10" t="str">
        <f t="shared" si="3"/>
        <v>Low/no B2B traffic yet - set a Business Price (5-10% below retail) and Quantity Discount tiers (e.g. 5+ units 5% off, 10+ units 10% off) to attract first B2B interest; add bulk/case-pack info to title and bullets</v>
      </c>
    </row>
    <row r="137" ht="14.25" customHeight="1">
      <c r="A137" s="10" t="s">
        <v>172</v>
      </c>
      <c r="B137" s="10">
        <v>1.0</v>
      </c>
      <c r="C137" s="10">
        <v>1.0</v>
      </c>
      <c r="D137" s="10">
        <v>0.0</v>
      </c>
      <c r="E137" s="10">
        <v>0.0</v>
      </c>
      <c r="F137" s="10">
        <v>0.0</v>
      </c>
      <c r="G137" s="10">
        <v>0.0</v>
      </c>
      <c r="H137" s="14">
        <v>1.0</v>
      </c>
      <c r="I137" s="7">
        <f t="shared" si="1"/>
        <v>-1</v>
      </c>
      <c r="J137" s="10" t="str">
        <f>IF(MAX(B137,E137)&gt;=Thresholds!$C$7,"Tier 3 - High",IF(MAX(B137,E137)&gt;=Thresholds!$C$6,"Tier 2 - Moderate","Tier 1 - Low"))</f>
        <v>Tier 1 - Low</v>
      </c>
      <c r="K137" s="7" t="str">
        <f t="shared" si="2"/>
        <v>Low Volume - Setup Needed</v>
      </c>
      <c r="L137" s="10" t="str">
        <f t="shared" si="3"/>
        <v>Low/no B2B traffic yet - set a Business Price (5-10% below retail) and Quantity Discount tiers (e.g. 5+ units 5% off, 10+ units 10% off) to attract first B2B interest; add bulk/case-pack info to title and bullets</v>
      </c>
    </row>
    <row r="138" ht="14.25" customHeight="1">
      <c r="A138" s="10" t="s">
        <v>173</v>
      </c>
      <c r="B138" s="10">
        <v>1.0</v>
      </c>
      <c r="C138" s="10">
        <v>2.0</v>
      </c>
      <c r="D138" s="10">
        <v>0.0</v>
      </c>
      <c r="E138" s="10">
        <v>0.0</v>
      </c>
      <c r="F138" s="10">
        <v>0.0</v>
      </c>
      <c r="G138" s="10">
        <v>0.0</v>
      </c>
      <c r="H138" s="14">
        <v>1.0</v>
      </c>
      <c r="I138" s="7">
        <f t="shared" si="1"/>
        <v>-1</v>
      </c>
      <c r="J138" s="10" t="str">
        <f>IF(MAX(B138,E138)&gt;=Thresholds!$C$7,"Tier 3 - High",IF(MAX(B138,E138)&gt;=Thresholds!$C$6,"Tier 2 - Moderate","Tier 1 - Low"))</f>
        <v>Tier 1 - Low</v>
      </c>
      <c r="K138" s="7" t="str">
        <f t="shared" si="2"/>
        <v>Low Volume - Setup Needed</v>
      </c>
      <c r="L138" s="10" t="str">
        <f t="shared" si="3"/>
        <v>Low/no B2B traffic yet - set a Business Price (5-10% below retail) and Quantity Discount tiers (e.g. 5+ units 5% off, 10+ units 10% off) to attract first B2B interest; add bulk/case-pack info to title and bullets</v>
      </c>
    </row>
    <row r="139" ht="14.25" customHeight="1">
      <c r="A139" s="10" t="s">
        <v>174</v>
      </c>
      <c r="B139" s="10">
        <v>1.0</v>
      </c>
      <c r="C139" s="10">
        <v>1.0</v>
      </c>
      <c r="D139" s="10">
        <v>0.0</v>
      </c>
      <c r="E139" s="10">
        <v>0.0</v>
      </c>
      <c r="F139" s="10">
        <v>0.0</v>
      </c>
      <c r="G139" s="10">
        <v>0.0</v>
      </c>
      <c r="H139" s="14">
        <v>1.0</v>
      </c>
      <c r="I139" s="7">
        <f t="shared" si="1"/>
        <v>-1</v>
      </c>
      <c r="J139" s="10" t="str">
        <f>IF(MAX(B139,E139)&gt;=Thresholds!$C$7,"Tier 3 - High",IF(MAX(B139,E139)&gt;=Thresholds!$C$6,"Tier 2 - Moderate","Tier 1 - Low"))</f>
        <v>Tier 1 - Low</v>
      </c>
      <c r="K139" s="7" t="str">
        <f t="shared" si="2"/>
        <v>Low Volume - Setup Needed</v>
      </c>
      <c r="L139" s="10" t="str">
        <f t="shared" si="3"/>
        <v>Low/no B2B traffic yet - set a Business Price (5-10% below retail) and Quantity Discount tiers (e.g. 5+ units 5% off, 10+ units 10% off) to attract first B2B interest; add bulk/case-pack info to title and bullets</v>
      </c>
    </row>
    <row r="140" ht="14.25" customHeight="1">
      <c r="A140" s="10" t="s">
        <v>175</v>
      </c>
      <c r="B140" s="10">
        <v>1.0</v>
      </c>
      <c r="C140" s="10">
        <v>1.0</v>
      </c>
      <c r="D140" s="10">
        <v>0.0</v>
      </c>
      <c r="E140" s="10">
        <v>0.0</v>
      </c>
      <c r="F140" s="10">
        <v>0.0</v>
      </c>
      <c r="G140" s="10">
        <v>0.0</v>
      </c>
      <c r="H140" s="14">
        <v>1.0</v>
      </c>
      <c r="I140" s="7">
        <f t="shared" si="1"/>
        <v>-1</v>
      </c>
      <c r="J140" s="10" t="str">
        <f>IF(MAX(B140,E140)&gt;=Thresholds!$C$7,"Tier 3 - High",IF(MAX(B140,E140)&gt;=Thresholds!$C$6,"Tier 2 - Moderate","Tier 1 - Low"))</f>
        <v>Tier 1 - Low</v>
      </c>
      <c r="K140" s="7" t="str">
        <f t="shared" si="2"/>
        <v>Low Volume - Setup Needed</v>
      </c>
      <c r="L140" s="10" t="str">
        <f t="shared" si="3"/>
        <v>Low/no B2B traffic yet - set a Business Price (5-10% below retail) and Quantity Discount tiers (e.g. 5+ units 5% off, 10+ units 10% off) to attract first B2B interest; add bulk/case-pack info to title and bullets</v>
      </c>
    </row>
    <row r="141" ht="14.25" customHeight="1">
      <c r="A141" s="10" t="s">
        <v>176</v>
      </c>
      <c r="B141" s="10">
        <v>1.0</v>
      </c>
      <c r="C141" s="10">
        <v>1.0</v>
      </c>
      <c r="D141" s="10">
        <v>0.0</v>
      </c>
      <c r="E141" s="10">
        <v>0.0</v>
      </c>
      <c r="F141" s="10">
        <v>0.0</v>
      </c>
      <c r="G141" s="10">
        <v>0.0</v>
      </c>
      <c r="H141" s="14">
        <v>0.0</v>
      </c>
      <c r="I141" s="7">
        <f t="shared" si="1"/>
        <v>-1</v>
      </c>
      <c r="J141" s="10" t="str">
        <f>IF(MAX(B141,E141)&gt;=Thresholds!$C$7,"Tier 3 - High",IF(MAX(B141,E141)&gt;=Thresholds!$C$6,"Tier 2 - Moderate","Tier 1 - Low"))</f>
        <v>Tier 1 - Low</v>
      </c>
      <c r="K141" s="7" t="str">
        <f t="shared" si="2"/>
        <v>Low Volume - Setup Needed</v>
      </c>
      <c r="L141" s="10" t="str">
        <f t="shared" si="3"/>
        <v>Low/no B2B traffic yet - set a Business Price (5-10% below retail) and Quantity Discount tiers (e.g. 5+ units 5% off, 10+ units 10% off) to attract first B2B interest; add bulk/case-pack info to title and bullets</v>
      </c>
    </row>
    <row r="142" ht="14.25" customHeight="1">
      <c r="A142" s="10" t="s">
        <v>177</v>
      </c>
      <c r="B142" s="10">
        <v>1.0</v>
      </c>
      <c r="C142" s="10">
        <v>1.0</v>
      </c>
      <c r="D142" s="10">
        <v>0.0</v>
      </c>
      <c r="E142" s="10">
        <v>0.0</v>
      </c>
      <c r="F142" s="10">
        <v>0.0</v>
      </c>
      <c r="G142" s="10">
        <v>0.0</v>
      </c>
      <c r="H142" s="14">
        <v>0.0</v>
      </c>
      <c r="I142" s="7">
        <f t="shared" si="1"/>
        <v>-1</v>
      </c>
      <c r="J142" s="10" t="str">
        <f>IF(MAX(B142,E142)&gt;=Thresholds!$C$7,"Tier 3 - High",IF(MAX(B142,E142)&gt;=Thresholds!$C$6,"Tier 2 - Moderate","Tier 1 - Low"))</f>
        <v>Tier 1 - Low</v>
      </c>
      <c r="K142" s="7" t="str">
        <f t="shared" si="2"/>
        <v>Low Volume - Setup Needed</v>
      </c>
      <c r="L142" s="10" t="str">
        <f t="shared" si="3"/>
        <v>Low/no B2B traffic yet - set a Business Price (5-10% below retail) and Quantity Discount tiers (e.g. 5+ units 5% off, 10+ units 10% off) to attract first B2B interest; add bulk/case-pack info to title and bullets</v>
      </c>
    </row>
    <row r="143" ht="14.25" customHeight="1">
      <c r="A143" s="10" t="s">
        <v>178</v>
      </c>
      <c r="B143" s="10">
        <v>1.0</v>
      </c>
      <c r="C143" s="10">
        <v>1.0</v>
      </c>
      <c r="D143" s="10">
        <v>0.0</v>
      </c>
      <c r="E143" s="10">
        <v>0.0</v>
      </c>
      <c r="F143" s="10">
        <v>0.0</v>
      </c>
      <c r="G143" s="10">
        <v>0.0</v>
      </c>
      <c r="H143" s="14">
        <v>0.0</v>
      </c>
      <c r="I143" s="7">
        <f t="shared" si="1"/>
        <v>-1</v>
      </c>
      <c r="J143" s="10" t="str">
        <f>IF(MAX(B143,E143)&gt;=Thresholds!$C$7,"Tier 3 - High",IF(MAX(B143,E143)&gt;=Thresholds!$C$6,"Tier 2 - Moderate","Tier 1 - Low"))</f>
        <v>Tier 1 - Low</v>
      </c>
      <c r="K143" s="7" t="str">
        <f t="shared" si="2"/>
        <v>Low Volume - Setup Needed</v>
      </c>
      <c r="L143" s="10" t="str">
        <f t="shared" si="3"/>
        <v>Low/no B2B traffic yet - set a Business Price (5-10% below retail) and Quantity Discount tiers (e.g. 5+ units 5% off, 10+ units 10% off) to attract first B2B interest; add bulk/case-pack info to title and bullets</v>
      </c>
    </row>
    <row r="144" ht="14.25" customHeight="1">
      <c r="A144" s="10" t="s">
        <v>179</v>
      </c>
      <c r="B144" s="10">
        <v>1.0</v>
      </c>
      <c r="C144" s="10">
        <v>2.0</v>
      </c>
      <c r="D144" s="10">
        <v>0.0</v>
      </c>
      <c r="E144" s="10">
        <v>0.0</v>
      </c>
      <c r="F144" s="10">
        <v>0.0</v>
      </c>
      <c r="G144" s="10">
        <v>0.0</v>
      </c>
      <c r="H144" s="14">
        <v>1.0</v>
      </c>
      <c r="I144" s="7">
        <f t="shared" si="1"/>
        <v>-1</v>
      </c>
      <c r="J144" s="10" t="str">
        <f>IF(MAX(B144,E144)&gt;=Thresholds!$C$7,"Tier 3 - High",IF(MAX(B144,E144)&gt;=Thresholds!$C$6,"Tier 2 - Moderate","Tier 1 - Low"))</f>
        <v>Tier 1 - Low</v>
      </c>
      <c r="K144" s="7" t="str">
        <f t="shared" si="2"/>
        <v>Low Volume - Setup Needed</v>
      </c>
      <c r="L144" s="10" t="str">
        <f t="shared" si="3"/>
        <v>Low/no B2B traffic yet - set a Business Price (5-10% below retail) and Quantity Discount tiers (e.g. 5+ units 5% off, 10+ units 10% off) to attract first B2B interest; add bulk/case-pack info to title and bullets</v>
      </c>
    </row>
    <row r="145" ht="14.25" customHeight="1">
      <c r="A145" s="10" t="s">
        <v>180</v>
      </c>
      <c r="B145" s="10">
        <v>1.0</v>
      </c>
      <c r="C145" s="10">
        <v>1.0</v>
      </c>
      <c r="D145" s="10">
        <v>0.0</v>
      </c>
      <c r="E145" s="10">
        <v>0.0</v>
      </c>
      <c r="F145" s="10">
        <v>0.0</v>
      </c>
      <c r="G145" s="10">
        <v>0.0</v>
      </c>
      <c r="H145" s="14">
        <v>0.9355</v>
      </c>
      <c r="I145" s="7">
        <f t="shared" si="1"/>
        <v>-1</v>
      </c>
      <c r="J145" s="10" t="str">
        <f>IF(MAX(B145,E145)&gt;=Thresholds!$C$7,"Tier 3 - High",IF(MAX(B145,E145)&gt;=Thresholds!$C$6,"Tier 2 - Moderate","Tier 1 - Low"))</f>
        <v>Tier 1 - Low</v>
      </c>
      <c r="K145" s="7" t="str">
        <f t="shared" si="2"/>
        <v>Low Volume - Setup Needed</v>
      </c>
      <c r="L145" s="10" t="str">
        <f t="shared" si="3"/>
        <v>Low/no B2B traffic yet - set a Business Price (5-10% below retail) and Quantity Discount tiers (e.g. 5+ units 5% off, 10+ units 10% off) to attract first B2B interest; add bulk/case-pack info to title and bullets</v>
      </c>
    </row>
    <row r="146" ht="14.25" customHeight="1">
      <c r="A146" s="10" t="s">
        <v>181</v>
      </c>
      <c r="B146" s="10">
        <v>1.0</v>
      </c>
      <c r="C146" s="10">
        <v>1.0</v>
      </c>
      <c r="D146" s="10">
        <v>0.0</v>
      </c>
      <c r="E146" s="10">
        <v>0.0</v>
      </c>
      <c r="F146" s="10">
        <v>0.0</v>
      </c>
      <c r="G146" s="10">
        <v>0.0</v>
      </c>
      <c r="H146" s="14">
        <v>0.0</v>
      </c>
      <c r="I146" s="7">
        <f t="shared" si="1"/>
        <v>-1</v>
      </c>
      <c r="J146" s="10" t="str">
        <f>IF(MAX(B146,E146)&gt;=Thresholds!$C$7,"Tier 3 - High",IF(MAX(B146,E146)&gt;=Thresholds!$C$6,"Tier 2 - Moderate","Tier 1 - Low"))</f>
        <v>Tier 1 - Low</v>
      </c>
      <c r="K146" s="7" t="str">
        <f t="shared" si="2"/>
        <v>Low Volume - Setup Needed</v>
      </c>
      <c r="L146" s="10" t="str">
        <f t="shared" si="3"/>
        <v>Low/no B2B traffic yet - set a Business Price (5-10% below retail) and Quantity Discount tiers (e.g. 5+ units 5% off, 10+ units 10% off) to attract first B2B interest; add bulk/case-pack info to title and bullets</v>
      </c>
    </row>
    <row r="147" ht="14.25" customHeight="1">
      <c r="A147" s="10" t="s">
        <v>182</v>
      </c>
      <c r="B147" s="10">
        <v>1.0</v>
      </c>
      <c r="C147" s="10">
        <v>1.0</v>
      </c>
      <c r="D147" s="10">
        <v>0.0</v>
      </c>
      <c r="E147" s="10">
        <v>0.0</v>
      </c>
      <c r="F147" s="10">
        <v>0.0</v>
      </c>
      <c r="G147" s="10">
        <v>0.0</v>
      </c>
      <c r="H147" s="14">
        <v>1.0</v>
      </c>
      <c r="I147" s="7">
        <f t="shared" si="1"/>
        <v>-1</v>
      </c>
      <c r="J147" s="10" t="str">
        <f>IF(MAX(B147,E147)&gt;=Thresholds!$C$7,"Tier 3 - High",IF(MAX(B147,E147)&gt;=Thresholds!$C$6,"Tier 2 - Moderate","Tier 1 - Low"))</f>
        <v>Tier 1 - Low</v>
      </c>
      <c r="K147" s="7" t="str">
        <f t="shared" si="2"/>
        <v>Low Volume - Setup Needed</v>
      </c>
      <c r="L147" s="10" t="str">
        <f t="shared" si="3"/>
        <v>Low/no B2B traffic yet - set a Business Price (5-10% below retail) and Quantity Discount tiers (e.g. 5+ units 5% off, 10+ units 10% off) to attract first B2B interest; add bulk/case-pack info to title and bullets</v>
      </c>
    </row>
    <row r="148" ht="14.25" customHeight="1">
      <c r="A148" s="10" t="s">
        <v>183</v>
      </c>
      <c r="B148" s="10">
        <v>1.0</v>
      </c>
      <c r="C148" s="10">
        <v>2.0</v>
      </c>
      <c r="D148" s="10">
        <v>3.0</v>
      </c>
      <c r="E148" s="10">
        <v>0.0</v>
      </c>
      <c r="F148" s="10">
        <v>0.0</v>
      </c>
      <c r="G148" s="10">
        <v>0.0</v>
      </c>
      <c r="H148" s="14">
        <v>0.0</v>
      </c>
      <c r="I148" s="7">
        <f t="shared" si="1"/>
        <v>-1</v>
      </c>
      <c r="J148" s="10" t="str">
        <f>IF(MAX(B148,E148)&gt;=Thresholds!$C$7,"Tier 3 - High",IF(MAX(B148,E148)&gt;=Thresholds!$C$6,"Tier 2 - Moderate","Tier 1 - Low"))</f>
        <v>Tier 1 - Low</v>
      </c>
      <c r="K148" s="7" t="str">
        <f t="shared" si="2"/>
        <v>Low Volume - Setup Needed</v>
      </c>
      <c r="L148" s="10" t="str">
        <f t="shared" si="3"/>
        <v>Low/no B2B traffic yet - set a Business Price (5-10% below retail) and Quantity Discount tiers (e.g. 5+ units 5% off, 10+ units 10% off) to attract first B2B interest; add bulk/case-pack info to title and bullets</v>
      </c>
    </row>
    <row r="149" ht="14.25" customHeight="1">
      <c r="A149" s="10" t="s">
        <v>184</v>
      </c>
      <c r="B149" s="10">
        <v>1.0</v>
      </c>
      <c r="C149" s="10">
        <v>1.0</v>
      </c>
      <c r="D149" s="10">
        <v>0.0</v>
      </c>
      <c r="E149" s="10">
        <v>0.0</v>
      </c>
      <c r="F149" s="10">
        <v>0.0</v>
      </c>
      <c r="G149" s="10">
        <v>0.0</v>
      </c>
      <c r="H149" s="14">
        <v>1.0</v>
      </c>
      <c r="I149" s="7">
        <f t="shared" si="1"/>
        <v>-1</v>
      </c>
      <c r="J149" s="10" t="str">
        <f>IF(MAX(B149,E149)&gt;=Thresholds!$C$7,"Tier 3 - High",IF(MAX(B149,E149)&gt;=Thresholds!$C$6,"Tier 2 - Moderate","Tier 1 - Low"))</f>
        <v>Tier 1 - Low</v>
      </c>
      <c r="K149" s="7" t="str">
        <f t="shared" si="2"/>
        <v>Low Volume - Setup Needed</v>
      </c>
      <c r="L149" s="10" t="str">
        <f t="shared" si="3"/>
        <v>Low/no B2B traffic yet - set a Business Price (5-10% below retail) and Quantity Discount tiers (e.g. 5+ units 5% off, 10+ units 10% off) to attract first B2B interest; add bulk/case-pack info to title and bullets</v>
      </c>
    </row>
    <row r="150" ht="14.25" customHeight="1">
      <c r="A150" s="10" t="s">
        <v>185</v>
      </c>
      <c r="B150" s="10">
        <v>1.0</v>
      </c>
      <c r="C150" s="10">
        <v>1.0</v>
      </c>
      <c r="D150" s="10">
        <v>0.0</v>
      </c>
      <c r="E150" s="10">
        <v>0.0</v>
      </c>
      <c r="F150" s="10">
        <v>0.0</v>
      </c>
      <c r="G150" s="10">
        <v>0.0</v>
      </c>
      <c r="H150" s="14">
        <v>1.0</v>
      </c>
      <c r="I150" s="7">
        <f t="shared" si="1"/>
        <v>-1</v>
      </c>
      <c r="J150" s="10" t="str">
        <f>IF(MAX(B150,E150)&gt;=Thresholds!$C$7,"Tier 3 - High",IF(MAX(B150,E150)&gt;=Thresholds!$C$6,"Tier 2 - Moderate","Tier 1 - Low"))</f>
        <v>Tier 1 - Low</v>
      </c>
      <c r="K150" s="7" t="str">
        <f t="shared" si="2"/>
        <v>Low Volume - Setup Needed</v>
      </c>
      <c r="L150" s="10" t="str">
        <f t="shared" si="3"/>
        <v>Low/no B2B traffic yet - set a Business Price (5-10% below retail) and Quantity Discount tiers (e.g. 5+ units 5% off, 10+ units 10% off) to attract first B2B interest; add bulk/case-pack info to title and bullets</v>
      </c>
    </row>
    <row r="151" ht="14.25" customHeight="1">
      <c r="A151" s="10" t="s">
        <v>186</v>
      </c>
      <c r="B151" s="10">
        <v>1.0</v>
      </c>
      <c r="C151" s="10">
        <v>1.0</v>
      </c>
      <c r="D151" s="10">
        <v>0.0</v>
      </c>
      <c r="E151" s="10">
        <v>0.0</v>
      </c>
      <c r="F151" s="10">
        <v>0.0</v>
      </c>
      <c r="G151" s="10">
        <v>0.0</v>
      </c>
      <c r="H151" s="14">
        <v>1.0</v>
      </c>
      <c r="I151" s="7">
        <f t="shared" si="1"/>
        <v>-1</v>
      </c>
      <c r="J151" s="10" t="str">
        <f>IF(MAX(B151,E151)&gt;=Thresholds!$C$7,"Tier 3 - High",IF(MAX(B151,E151)&gt;=Thresholds!$C$6,"Tier 2 - Moderate","Tier 1 - Low"))</f>
        <v>Tier 1 - Low</v>
      </c>
      <c r="K151" s="7" t="str">
        <f t="shared" si="2"/>
        <v>Low Volume - Setup Needed</v>
      </c>
      <c r="L151" s="10" t="str">
        <f t="shared" si="3"/>
        <v>Low/no B2B traffic yet - set a Business Price (5-10% below retail) and Quantity Discount tiers (e.g. 5+ units 5% off, 10+ units 10% off) to attract first B2B interest; add bulk/case-pack info to title and bullets</v>
      </c>
    </row>
    <row r="152" ht="14.25" customHeight="1">
      <c r="A152" s="10" t="s">
        <v>187</v>
      </c>
      <c r="B152" s="10">
        <v>1.0</v>
      </c>
      <c r="C152" s="10">
        <v>1.0</v>
      </c>
      <c r="D152" s="10">
        <v>0.0</v>
      </c>
      <c r="E152" s="10">
        <v>0.0</v>
      </c>
      <c r="F152" s="10">
        <v>0.0</v>
      </c>
      <c r="G152" s="10">
        <v>0.0</v>
      </c>
      <c r="H152" s="14">
        <v>0.9487</v>
      </c>
      <c r="I152" s="7">
        <f t="shared" si="1"/>
        <v>-1</v>
      </c>
      <c r="J152" s="10" t="str">
        <f>IF(MAX(B152,E152)&gt;=Thresholds!$C$7,"Tier 3 - High",IF(MAX(B152,E152)&gt;=Thresholds!$C$6,"Tier 2 - Moderate","Tier 1 - Low"))</f>
        <v>Tier 1 - Low</v>
      </c>
      <c r="K152" s="7" t="str">
        <f t="shared" si="2"/>
        <v>Low Volume - Setup Needed</v>
      </c>
      <c r="L152" s="10" t="str">
        <f t="shared" si="3"/>
        <v>Low/no B2B traffic yet - set a Business Price (5-10% below retail) and Quantity Discount tiers (e.g. 5+ units 5% off, 10+ units 10% off) to attract first B2B interest; add bulk/case-pack info to title and bullets</v>
      </c>
    </row>
    <row r="153" ht="14.25" customHeight="1">
      <c r="A153" s="10" t="s">
        <v>188</v>
      </c>
      <c r="B153" s="10">
        <v>1.0</v>
      </c>
      <c r="C153" s="10">
        <v>1.0</v>
      </c>
      <c r="D153" s="10">
        <v>0.0</v>
      </c>
      <c r="E153" s="10">
        <v>0.0</v>
      </c>
      <c r="F153" s="10">
        <v>0.0</v>
      </c>
      <c r="G153" s="10">
        <v>0.0</v>
      </c>
      <c r="H153" s="14">
        <v>1.0</v>
      </c>
      <c r="I153" s="7">
        <f t="shared" si="1"/>
        <v>-1</v>
      </c>
      <c r="J153" s="10" t="str">
        <f>IF(MAX(B153,E153)&gt;=Thresholds!$C$7,"Tier 3 - High",IF(MAX(B153,E153)&gt;=Thresholds!$C$6,"Tier 2 - Moderate","Tier 1 - Low"))</f>
        <v>Tier 1 - Low</v>
      </c>
      <c r="K153" s="7" t="str">
        <f t="shared" si="2"/>
        <v>Low Volume - Setup Needed</v>
      </c>
      <c r="L153" s="10" t="str">
        <f t="shared" si="3"/>
        <v>Low/no B2B traffic yet - set a Business Price (5-10% below retail) and Quantity Discount tiers (e.g. 5+ units 5% off, 10+ units 10% off) to attract first B2B interest; add bulk/case-pack info to title and bullets</v>
      </c>
    </row>
    <row r="154" ht="14.25" customHeight="1">
      <c r="A154" s="10" t="s">
        <v>189</v>
      </c>
      <c r="B154" s="10">
        <v>1.0</v>
      </c>
      <c r="C154" s="10">
        <v>1.0</v>
      </c>
      <c r="D154" s="10">
        <v>0.0</v>
      </c>
      <c r="E154" s="10">
        <v>0.0</v>
      </c>
      <c r="F154" s="10">
        <v>0.0</v>
      </c>
      <c r="G154" s="10">
        <v>0.0</v>
      </c>
      <c r="H154" s="14">
        <v>0.0</v>
      </c>
      <c r="I154" s="7">
        <f t="shared" si="1"/>
        <v>-1</v>
      </c>
      <c r="J154" s="10" t="str">
        <f>IF(MAX(B154,E154)&gt;=Thresholds!$C$7,"Tier 3 - High",IF(MAX(B154,E154)&gt;=Thresholds!$C$6,"Tier 2 - Moderate","Tier 1 - Low"))</f>
        <v>Tier 1 - Low</v>
      </c>
      <c r="K154" s="7" t="str">
        <f t="shared" si="2"/>
        <v>Low Volume - Setup Needed</v>
      </c>
      <c r="L154" s="10" t="str">
        <f t="shared" si="3"/>
        <v>Low/no B2B traffic yet - set a Business Price (5-10% below retail) and Quantity Discount tiers (e.g. 5+ units 5% off, 10+ units 10% off) to attract first B2B interest; add bulk/case-pack info to title and bullets</v>
      </c>
    </row>
    <row r="155" ht="14.25" customHeight="1">
      <c r="A155" s="10" t="s">
        <v>190</v>
      </c>
      <c r="B155" s="10">
        <v>1.0</v>
      </c>
      <c r="C155" s="10">
        <v>3.0</v>
      </c>
      <c r="D155" s="10">
        <v>0.0</v>
      </c>
      <c r="E155" s="10">
        <v>0.0</v>
      </c>
      <c r="F155" s="10">
        <v>0.0</v>
      </c>
      <c r="G155" s="10">
        <v>0.0</v>
      </c>
      <c r="H155" s="14">
        <v>0.0</v>
      </c>
      <c r="I155" s="7">
        <f t="shared" si="1"/>
        <v>-1</v>
      </c>
      <c r="J155" s="10" t="str">
        <f>IF(MAX(B155,E155)&gt;=Thresholds!$C$7,"Tier 3 - High",IF(MAX(B155,E155)&gt;=Thresholds!$C$6,"Tier 2 - Moderate","Tier 1 - Low"))</f>
        <v>Tier 1 - Low</v>
      </c>
      <c r="K155" s="7" t="str">
        <f t="shared" si="2"/>
        <v>Low Volume - Setup Needed</v>
      </c>
      <c r="L155" s="10" t="str">
        <f t="shared" si="3"/>
        <v>Low/no B2B traffic yet - set a Business Price (5-10% below retail) and Quantity Discount tiers (e.g. 5+ units 5% off, 10+ units 10% off) to attract first B2B interest; add bulk/case-pack info to title and bullets</v>
      </c>
    </row>
    <row r="156" ht="14.25" customHeight="1">
      <c r="A156" s="10" t="s">
        <v>191</v>
      </c>
      <c r="B156" s="10">
        <v>1.0</v>
      </c>
      <c r="C156" s="10">
        <v>1.0</v>
      </c>
      <c r="D156" s="10">
        <v>0.0</v>
      </c>
      <c r="E156" s="10">
        <v>0.0</v>
      </c>
      <c r="F156" s="10">
        <v>0.0</v>
      </c>
      <c r="G156" s="10">
        <v>0.0</v>
      </c>
      <c r="H156" s="14">
        <v>0.0</v>
      </c>
      <c r="I156" s="7">
        <f t="shared" si="1"/>
        <v>-1</v>
      </c>
      <c r="J156" s="10" t="str">
        <f>IF(MAX(B156,E156)&gt;=Thresholds!$C$7,"Tier 3 - High",IF(MAX(B156,E156)&gt;=Thresholds!$C$6,"Tier 2 - Moderate","Tier 1 - Low"))</f>
        <v>Tier 1 - Low</v>
      </c>
      <c r="K156" s="7" t="str">
        <f t="shared" si="2"/>
        <v>Low Volume - Setup Needed</v>
      </c>
      <c r="L156" s="10" t="str">
        <f t="shared" si="3"/>
        <v>Low/no B2B traffic yet - set a Business Price (5-10% below retail) and Quantity Discount tiers (e.g. 5+ units 5% off, 10+ units 10% off) to attract first B2B interest; add bulk/case-pack info to title and bullets</v>
      </c>
    </row>
    <row r="157" ht="14.25" customHeight="1">
      <c r="A157" s="10" t="s">
        <v>192</v>
      </c>
      <c r="B157" s="10">
        <v>1.0</v>
      </c>
      <c r="C157" s="10">
        <v>1.0</v>
      </c>
      <c r="D157" s="10">
        <v>0.0</v>
      </c>
      <c r="E157" s="10">
        <v>0.0</v>
      </c>
      <c r="F157" s="10">
        <v>0.0</v>
      </c>
      <c r="G157" s="10">
        <v>0.0</v>
      </c>
      <c r="H157" s="14">
        <v>0.0</v>
      </c>
      <c r="I157" s="7">
        <f t="shared" si="1"/>
        <v>-1</v>
      </c>
      <c r="J157" s="10" t="str">
        <f>IF(MAX(B157,E157)&gt;=Thresholds!$C$7,"Tier 3 - High",IF(MAX(B157,E157)&gt;=Thresholds!$C$6,"Tier 2 - Moderate","Tier 1 - Low"))</f>
        <v>Tier 1 - Low</v>
      </c>
      <c r="K157" s="7" t="str">
        <f t="shared" si="2"/>
        <v>Low Volume - Setup Needed</v>
      </c>
      <c r="L157" s="10" t="str">
        <f t="shared" si="3"/>
        <v>Low/no B2B traffic yet - set a Business Price (5-10% below retail) and Quantity Discount tiers (e.g. 5+ units 5% off, 10+ units 10% off) to attract first B2B interest; add bulk/case-pack info to title and bullets</v>
      </c>
    </row>
    <row r="158" ht="14.25" customHeight="1">
      <c r="A158" s="10" t="s">
        <v>193</v>
      </c>
      <c r="B158" s="10">
        <v>1.0</v>
      </c>
      <c r="C158" s="10">
        <v>1.0</v>
      </c>
      <c r="D158" s="10">
        <v>0.0</v>
      </c>
      <c r="E158" s="10">
        <v>0.0</v>
      </c>
      <c r="F158" s="10">
        <v>0.0</v>
      </c>
      <c r="G158" s="10">
        <v>0.0</v>
      </c>
      <c r="H158" s="14">
        <v>0.0</v>
      </c>
      <c r="I158" s="7">
        <f t="shared" si="1"/>
        <v>-1</v>
      </c>
      <c r="J158" s="10" t="str">
        <f>IF(MAX(B158,E158)&gt;=Thresholds!$C$7,"Tier 3 - High",IF(MAX(B158,E158)&gt;=Thresholds!$C$6,"Tier 2 - Moderate","Tier 1 - Low"))</f>
        <v>Tier 1 - Low</v>
      </c>
      <c r="K158" s="7" t="str">
        <f t="shared" si="2"/>
        <v>Low Volume - Setup Needed</v>
      </c>
      <c r="L158" s="10" t="str">
        <f t="shared" si="3"/>
        <v>Low/no B2B traffic yet - set a Business Price (5-10% below retail) and Quantity Discount tiers (e.g. 5+ units 5% off, 10+ units 10% off) to attract first B2B interest; add bulk/case-pack info to title and bullets</v>
      </c>
    </row>
    <row r="159" ht="14.25" customHeight="1">
      <c r="A159" s="10" t="s">
        <v>194</v>
      </c>
      <c r="B159" s="10">
        <v>1.0</v>
      </c>
      <c r="C159" s="10">
        <v>1.0</v>
      </c>
      <c r="D159" s="10">
        <v>0.0</v>
      </c>
      <c r="E159" s="10">
        <v>0.0</v>
      </c>
      <c r="F159" s="10">
        <v>0.0</v>
      </c>
      <c r="G159" s="10">
        <v>0.0</v>
      </c>
      <c r="H159" s="14">
        <v>0.8947</v>
      </c>
      <c r="I159" s="7">
        <f t="shared" si="1"/>
        <v>-1</v>
      </c>
      <c r="J159" s="10" t="str">
        <f>IF(MAX(B159,E159)&gt;=Thresholds!$C$7,"Tier 3 - High",IF(MAX(B159,E159)&gt;=Thresholds!$C$6,"Tier 2 - Moderate","Tier 1 - Low"))</f>
        <v>Tier 1 - Low</v>
      </c>
      <c r="K159" s="7" t="str">
        <f t="shared" si="2"/>
        <v>Low Volume - Setup Needed</v>
      </c>
      <c r="L159" s="10" t="str">
        <f t="shared" si="3"/>
        <v>Low/no B2B traffic yet - set a Business Price (5-10% below retail) and Quantity Discount tiers (e.g. 5+ units 5% off, 10+ units 10% off) to attract first B2B interest; add bulk/case-pack info to title and bullets</v>
      </c>
    </row>
    <row r="160" ht="14.25" customHeight="1">
      <c r="A160" s="10" t="s">
        <v>195</v>
      </c>
      <c r="B160" s="10">
        <v>2.0</v>
      </c>
      <c r="C160" s="10">
        <v>2.0</v>
      </c>
      <c r="D160" s="10">
        <v>0.0</v>
      </c>
      <c r="E160" s="10">
        <v>1.0</v>
      </c>
      <c r="F160" s="10">
        <v>1.0</v>
      </c>
      <c r="G160" s="10">
        <v>0.0</v>
      </c>
      <c r="H160" s="14">
        <v>0.9259</v>
      </c>
      <c r="I160" s="7">
        <f t="shared" si="1"/>
        <v>-1</v>
      </c>
      <c r="J160" s="10" t="str">
        <f>IF(MAX(B160,E160)&gt;=Thresholds!$C$7,"Tier 3 - High",IF(MAX(B160,E160)&gt;=Thresholds!$C$6,"Tier 2 - Moderate","Tier 1 - Low"))</f>
        <v>Tier 1 - Low</v>
      </c>
      <c r="K160" s="7" t="str">
        <f t="shared" si="2"/>
        <v>Low Volume - Setup Needed</v>
      </c>
      <c r="L160" s="10" t="str">
        <f t="shared" si="3"/>
        <v>Low/no B2B traffic yet - set a Business Price (5-10% below retail) and Quantity Discount tiers (e.g. 5+ units 5% off, 10+ units 10% off) to attract first B2B interest; add bulk/case-pack info to title and bullets</v>
      </c>
    </row>
    <row r="161" ht="14.25" customHeight="1">
      <c r="A161" s="10" t="s">
        <v>196</v>
      </c>
      <c r="B161" s="10">
        <v>1.0</v>
      </c>
      <c r="C161" s="10">
        <v>1.0</v>
      </c>
      <c r="D161" s="10">
        <v>0.0</v>
      </c>
      <c r="E161" s="10">
        <v>0.0</v>
      </c>
      <c r="F161" s="10">
        <v>0.0</v>
      </c>
      <c r="G161" s="10">
        <v>0.0</v>
      </c>
      <c r="H161" s="14">
        <v>1.0</v>
      </c>
      <c r="I161" s="7">
        <f t="shared" si="1"/>
        <v>-1</v>
      </c>
      <c r="J161" s="10" t="str">
        <f>IF(MAX(B161,E161)&gt;=Thresholds!$C$7,"Tier 3 - High",IF(MAX(B161,E161)&gt;=Thresholds!$C$6,"Tier 2 - Moderate","Tier 1 - Low"))</f>
        <v>Tier 1 - Low</v>
      </c>
      <c r="K161" s="7" t="str">
        <f t="shared" si="2"/>
        <v>Low Volume - Setup Needed</v>
      </c>
      <c r="L161" s="10" t="str">
        <f t="shared" si="3"/>
        <v>Low/no B2B traffic yet - set a Business Price (5-10% below retail) and Quantity Discount tiers (e.g. 5+ units 5% off, 10+ units 10% off) to attract first B2B interest; add bulk/case-pack info to title and bullets</v>
      </c>
    </row>
    <row r="162" ht="14.25" customHeight="1">
      <c r="A162" s="10" t="s">
        <v>197</v>
      </c>
      <c r="B162" s="10">
        <v>1.0</v>
      </c>
      <c r="C162" s="10">
        <v>1.0</v>
      </c>
      <c r="D162" s="10">
        <v>0.0</v>
      </c>
      <c r="E162" s="10">
        <v>0.0</v>
      </c>
      <c r="F162" s="10">
        <v>0.0</v>
      </c>
      <c r="G162" s="10">
        <v>0.0</v>
      </c>
      <c r="H162" s="14">
        <v>1.0</v>
      </c>
      <c r="I162" s="7">
        <f t="shared" si="1"/>
        <v>-1</v>
      </c>
      <c r="J162" s="10" t="str">
        <f>IF(MAX(B162,E162)&gt;=Thresholds!$C$7,"Tier 3 - High",IF(MAX(B162,E162)&gt;=Thresholds!$C$6,"Tier 2 - Moderate","Tier 1 - Low"))</f>
        <v>Tier 1 - Low</v>
      </c>
      <c r="K162" s="7" t="str">
        <f t="shared" si="2"/>
        <v>Low Volume - Setup Needed</v>
      </c>
      <c r="L162" s="10" t="str">
        <f t="shared" si="3"/>
        <v>Low/no B2B traffic yet - set a Business Price (5-10% below retail) and Quantity Discount tiers (e.g. 5+ units 5% off, 10+ units 10% off) to attract first B2B interest; add bulk/case-pack info to title and bullets</v>
      </c>
    </row>
    <row r="163" ht="14.25" customHeight="1">
      <c r="A163" s="10" t="s">
        <v>198</v>
      </c>
      <c r="B163" s="10">
        <v>1.0</v>
      </c>
      <c r="C163" s="10">
        <v>1.0</v>
      </c>
      <c r="D163" s="10">
        <v>0.0</v>
      </c>
      <c r="E163" s="10">
        <v>0.0</v>
      </c>
      <c r="F163" s="10">
        <v>0.0</v>
      </c>
      <c r="G163" s="10">
        <v>0.0</v>
      </c>
      <c r="H163" s="14">
        <v>0.9111</v>
      </c>
      <c r="I163" s="7">
        <f t="shared" si="1"/>
        <v>-1</v>
      </c>
      <c r="J163" s="10" t="str">
        <f>IF(MAX(B163,E163)&gt;=Thresholds!$C$7,"Tier 3 - High",IF(MAX(B163,E163)&gt;=Thresholds!$C$6,"Tier 2 - Moderate","Tier 1 - Low"))</f>
        <v>Tier 1 - Low</v>
      </c>
      <c r="K163" s="7" t="str">
        <f t="shared" si="2"/>
        <v>Low Volume - Setup Needed</v>
      </c>
      <c r="L163" s="10" t="str">
        <f t="shared" si="3"/>
        <v>Low/no B2B traffic yet - set a Business Price (5-10% below retail) and Quantity Discount tiers (e.g. 5+ units 5% off, 10+ units 10% off) to attract first B2B interest; add bulk/case-pack info to title and bullets</v>
      </c>
    </row>
    <row r="164" ht="14.25" customHeight="1">
      <c r="A164" s="10" t="s">
        <v>199</v>
      </c>
      <c r="B164" s="10">
        <v>1.0</v>
      </c>
      <c r="C164" s="10">
        <v>1.0</v>
      </c>
      <c r="D164" s="10">
        <v>0.0</v>
      </c>
      <c r="E164" s="10">
        <v>0.0</v>
      </c>
      <c r="F164" s="10">
        <v>0.0</v>
      </c>
      <c r="G164" s="10">
        <v>0.0</v>
      </c>
      <c r="H164" s="14">
        <v>1.0</v>
      </c>
      <c r="I164" s="7">
        <f t="shared" si="1"/>
        <v>-1</v>
      </c>
      <c r="J164" s="10" t="str">
        <f>IF(MAX(B164,E164)&gt;=Thresholds!$C$7,"Tier 3 - High",IF(MAX(B164,E164)&gt;=Thresholds!$C$6,"Tier 2 - Moderate","Tier 1 - Low"))</f>
        <v>Tier 1 - Low</v>
      </c>
      <c r="K164" s="7" t="str">
        <f t="shared" si="2"/>
        <v>Low Volume - Setup Needed</v>
      </c>
      <c r="L164" s="10" t="str">
        <f t="shared" si="3"/>
        <v>Low/no B2B traffic yet - set a Business Price (5-10% below retail) and Quantity Discount tiers (e.g. 5+ units 5% off, 10+ units 10% off) to attract first B2B interest; add bulk/case-pack info to title and bullets</v>
      </c>
    </row>
    <row r="165" ht="14.25" customHeight="1">
      <c r="A165" s="10" t="s">
        <v>200</v>
      </c>
      <c r="B165" s="10">
        <v>1.0</v>
      </c>
      <c r="C165" s="10">
        <v>1.0</v>
      </c>
      <c r="D165" s="10">
        <v>0.0</v>
      </c>
      <c r="E165" s="10">
        <v>0.0</v>
      </c>
      <c r="F165" s="10">
        <v>0.0</v>
      </c>
      <c r="G165" s="10">
        <v>0.0</v>
      </c>
      <c r="H165" s="14">
        <v>0.0</v>
      </c>
      <c r="I165" s="7">
        <f t="shared" si="1"/>
        <v>-1</v>
      </c>
      <c r="J165" s="10" t="str">
        <f>IF(MAX(B165,E165)&gt;=Thresholds!$C$7,"Tier 3 - High",IF(MAX(B165,E165)&gt;=Thresholds!$C$6,"Tier 2 - Moderate","Tier 1 - Low"))</f>
        <v>Tier 1 - Low</v>
      </c>
      <c r="K165" s="7" t="str">
        <f t="shared" si="2"/>
        <v>Low Volume - Setup Needed</v>
      </c>
      <c r="L165" s="10" t="str">
        <f t="shared" si="3"/>
        <v>Low/no B2B traffic yet - set a Business Price (5-10% below retail) and Quantity Discount tiers (e.g. 5+ units 5% off, 10+ units 10% off) to attract first B2B interest; add bulk/case-pack info to title and bullets</v>
      </c>
    </row>
    <row r="166" ht="14.25" customHeight="1">
      <c r="A166" s="10" t="s">
        <v>201</v>
      </c>
      <c r="B166" s="10">
        <v>1.0</v>
      </c>
      <c r="C166" s="10">
        <v>1.0</v>
      </c>
      <c r="D166" s="10">
        <v>0.0</v>
      </c>
      <c r="E166" s="10">
        <v>0.0</v>
      </c>
      <c r="F166" s="10">
        <v>0.0</v>
      </c>
      <c r="G166" s="10">
        <v>0.0</v>
      </c>
      <c r="H166" s="14">
        <v>1.0</v>
      </c>
      <c r="I166" s="7">
        <f t="shared" si="1"/>
        <v>-1</v>
      </c>
      <c r="J166" s="10" t="str">
        <f>IF(MAX(B166,E166)&gt;=Thresholds!$C$7,"Tier 3 - High",IF(MAX(B166,E166)&gt;=Thresholds!$C$6,"Tier 2 - Moderate","Tier 1 - Low"))</f>
        <v>Tier 1 - Low</v>
      </c>
      <c r="K166" s="7" t="str">
        <f t="shared" si="2"/>
        <v>Low Volume - Setup Needed</v>
      </c>
      <c r="L166" s="10" t="str">
        <f t="shared" si="3"/>
        <v>Low/no B2B traffic yet - set a Business Price (5-10% below retail) and Quantity Discount tiers (e.g. 5+ units 5% off, 10+ units 10% off) to attract first B2B interest; add bulk/case-pack info to title and bullets</v>
      </c>
    </row>
    <row r="167" ht="14.25" customHeight="1">
      <c r="A167" s="10" t="s">
        <v>202</v>
      </c>
      <c r="B167" s="10">
        <v>1.0</v>
      </c>
      <c r="C167" s="10">
        <v>1.0</v>
      </c>
      <c r="D167" s="10">
        <v>0.0</v>
      </c>
      <c r="E167" s="10">
        <v>0.0</v>
      </c>
      <c r="F167" s="10">
        <v>0.0</v>
      </c>
      <c r="G167" s="10">
        <v>0.0</v>
      </c>
      <c r="H167" s="14">
        <v>0.0</v>
      </c>
      <c r="I167" s="7">
        <f t="shared" si="1"/>
        <v>-1</v>
      </c>
      <c r="J167" s="10" t="str">
        <f>IF(MAX(B167,E167)&gt;=Thresholds!$C$7,"Tier 3 - High",IF(MAX(B167,E167)&gt;=Thresholds!$C$6,"Tier 2 - Moderate","Tier 1 - Low"))</f>
        <v>Tier 1 - Low</v>
      </c>
      <c r="K167" s="7" t="str">
        <f t="shared" si="2"/>
        <v>Low Volume - Setup Needed</v>
      </c>
      <c r="L167" s="10" t="str">
        <f t="shared" si="3"/>
        <v>Low/no B2B traffic yet - set a Business Price (5-10% below retail) and Quantity Discount tiers (e.g. 5+ units 5% off, 10+ units 10% off) to attract first B2B interest; add bulk/case-pack info to title and bullets</v>
      </c>
    </row>
    <row r="168" ht="14.25" customHeight="1">
      <c r="A168" s="10" t="s">
        <v>203</v>
      </c>
      <c r="B168" s="10">
        <v>1.0</v>
      </c>
      <c r="C168" s="10">
        <v>1.0</v>
      </c>
      <c r="D168" s="10">
        <v>0.0</v>
      </c>
      <c r="E168" s="10">
        <v>0.0</v>
      </c>
      <c r="F168" s="10">
        <v>0.0</v>
      </c>
      <c r="G168" s="10">
        <v>0.0</v>
      </c>
      <c r="H168" s="14">
        <v>0.6667</v>
      </c>
      <c r="I168" s="7">
        <f t="shared" si="1"/>
        <v>-1</v>
      </c>
      <c r="J168" s="10" t="str">
        <f>IF(MAX(B168,E168)&gt;=Thresholds!$C$7,"Tier 3 - High",IF(MAX(B168,E168)&gt;=Thresholds!$C$6,"Tier 2 - Moderate","Tier 1 - Low"))</f>
        <v>Tier 1 - Low</v>
      </c>
      <c r="K168" s="7" t="str">
        <f t="shared" si="2"/>
        <v>Low Volume - Setup Needed</v>
      </c>
      <c r="L168" s="10" t="str">
        <f t="shared" si="3"/>
        <v>Low/no B2B traffic yet - set a Business Price (5-10% below retail) and Quantity Discount tiers (e.g. 5+ units 5% off, 10+ units 10% off) to attract first B2B interest; add bulk/case-pack info to title and bullets</v>
      </c>
    </row>
    <row r="169" ht="14.25" customHeight="1">
      <c r="A169" s="10" t="s">
        <v>204</v>
      </c>
      <c r="B169" s="10">
        <v>1.0</v>
      </c>
      <c r="C169" s="10">
        <v>1.0</v>
      </c>
      <c r="D169" s="10">
        <v>0.0</v>
      </c>
      <c r="E169" s="10">
        <v>0.0</v>
      </c>
      <c r="F169" s="10">
        <v>0.0</v>
      </c>
      <c r="G169" s="10">
        <v>0.0</v>
      </c>
      <c r="H169" s="14">
        <v>1.0</v>
      </c>
      <c r="I169" s="7">
        <f t="shared" si="1"/>
        <v>-1</v>
      </c>
      <c r="J169" s="10" t="str">
        <f>IF(MAX(B169,E169)&gt;=Thresholds!$C$7,"Tier 3 - High",IF(MAX(B169,E169)&gt;=Thresholds!$C$6,"Tier 2 - Moderate","Tier 1 - Low"))</f>
        <v>Tier 1 - Low</v>
      </c>
      <c r="K169" s="7" t="str">
        <f t="shared" si="2"/>
        <v>Low Volume - Setup Needed</v>
      </c>
      <c r="L169" s="10" t="str">
        <f t="shared" si="3"/>
        <v>Low/no B2B traffic yet - set a Business Price (5-10% below retail) and Quantity Discount tiers (e.g. 5+ units 5% off, 10+ units 10% off) to attract first B2B interest; add bulk/case-pack info to title and bullets</v>
      </c>
    </row>
    <row r="170" ht="14.25" customHeight="1">
      <c r="A170" s="10" t="s">
        <v>205</v>
      </c>
      <c r="B170" s="10">
        <v>1.0</v>
      </c>
      <c r="C170" s="10">
        <v>2.0</v>
      </c>
      <c r="D170" s="10">
        <v>0.0</v>
      </c>
      <c r="E170" s="10">
        <v>0.0</v>
      </c>
      <c r="F170" s="10">
        <v>0.0</v>
      </c>
      <c r="G170" s="10">
        <v>0.0</v>
      </c>
      <c r="H170" s="14">
        <v>0.0</v>
      </c>
      <c r="I170" s="7">
        <f t="shared" si="1"/>
        <v>-1</v>
      </c>
      <c r="J170" s="10" t="str">
        <f>IF(MAX(B170,E170)&gt;=Thresholds!$C$7,"Tier 3 - High",IF(MAX(B170,E170)&gt;=Thresholds!$C$6,"Tier 2 - Moderate","Tier 1 - Low"))</f>
        <v>Tier 1 - Low</v>
      </c>
      <c r="K170" s="7" t="str">
        <f t="shared" si="2"/>
        <v>Low Volume - Setup Needed</v>
      </c>
      <c r="L170" s="10" t="str">
        <f t="shared" si="3"/>
        <v>Low/no B2B traffic yet - set a Business Price (5-10% below retail) and Quantity Discount tiers (e.g. 5+ units 5% off, 10+ units 10% off) to attract first B2B interest; add bulk/case-pack info to title and bullets</v>
      </c>
    </row>
    <row r="171" ht="14.25" customHeight="1">
      <c r="A171" s="10" t="s">
        <v>206</v>
      </c>
      <c r="B171" s="10">
        <v>1.0</v>
      </c>
      <c r="C171" s="10">
        <v>1.0</v>
      </c>
      <c r="D171" s="10">
        <v>0.0</v>
      </c>
      <c r="E171" s="10">
        <v>0.0</v>
      </c>
      <c r="F171" s="10">
        <v>0.0</v>
      </c>
      <c r="G171" s="10">
        <v>0.0</v>
      </c>
      <c r="H171" s="14">
        <v>1.0</v>
      </c>
      <c r="I171" s="7">
        <f t="shared" si="1"/>
        <v>-1</v>
      </c>
      <c r="J171" s="10" t="str">
        <f>IF(MAX(B171,E171)&gt;=Thresholds!$C$7,"Tier 3 - High",IF(MAX(B171,E171)&gt;=Thresholds!$C$6,"Tier 2 - Moderate","Tier 1 - Low"))</f>
        <v>Tier 1 - Low</v>
      </c>
      <c r="K171" s="7" t="str">
        <f t="shared" si="2"/>
        <v>Low Volume - Setup Needed</v>
      </c>
      <c r="L171" s="10" t="str">
        <f t="shared" si="3"/>
        <v>Low/no B2B traffic yet - set a Business Price (5-10% below retail) and Quantity Discount tiers (e.g. 5+ units 5% off, 10+ units 10% off) to attract first B2B interest; add bulk/case-pack info to title and bullets</v>
      </c>
    </row>
    <row r="172" ht="14.25" customHeight="1">
      <c r="A172" s="10" t="s">
        <v>207</v>
      </c>
      <c r="B172" s="10">
        <v>1.0</v>
      </c>
      <c r="C172" s="10">
        <v>1.0</v>
      </c>
      <c r="D172" s="10">
        <v>0.0</v>
      </c>
      <c r="E172" s="10">
        <v>0.0</v>
      </c>
      <c r="F172" s="10">
        <v>0.0</v>
      </c>
      <c r="G172" s="10">
        <v>0.0</v>
      </c>
      <c r="H172" s="14">
        <v>0.8889</v>
      </c>
      <c r="I172" s="7">
        <f t="shared" si="1"/>
        <v>-1</v>
      </c>
      <c r="J172" s="10" t="str">
        <f>IF(MAX(B172,E172)&gt;=Thresholds!$C$7,"Tier 3 - High",IF(MAX(B172,E172)&gt;=Thresholds!$C$6,"Tier 2 - Moderate","Tier 1 - Low"))</f>
        <v>Tier 1 - Low</v>
      </c>
      <c r="K172" s="7" t="str">
        <f t="shared" si="2"/>
        <v>Low Volume - Setup Needed</v>
      </c>
      <c r="L172" s="10" t="str">
        <f t="shared" si="3"/>
        <v>Low/no B2B traffic yet - set a Business Price (5-10% below retail) and Quantity Discount tiers (e.g. 5+ units 5% off, 10+ units 10% off) to attract first B2B interest; add bulk/case-pack info to title and bullets</v>
      </c>
    </row>
    <row r="173" ht="14.25" customHeight="1">
      <c r="A173" s="10" t="s">
        <v>208</v>
      </c>
      <c r="B173" s="10">
        <v>1.0</v>
      </c>
      <c r="C173" s="10">
        <v>1.0</v>
      </c>
      <c r="D173" s="10">
        <v>0.0</v>
      </c>
      <c r="E173" s="10">
        <v>0.0</v>
      </c>
      <c r="F173" s="10">
        <v>0.0</v>
      </c>
      <c r="G173" s="10">
        <v>0.0</v>
      </c>
      <c r="H173" s="14">
        <v>0.8857</v>
      </c>
      <c r="I173" s="7">
        <f t="shared" si="1"/>
        <v>-1</v>
      </c>
      <c r="J173" s="10" t="str">
        <f>IF(MAX(B173,E173)&gt;=Thresholds!$C$7,"Tier 3 - High",IF(MAX(B173,E173)&gt;=Thresholds!$C$6,"Tier 2 - Moderate","Tier 1 - Low"))</f>
        <v>Tier 1 - Low</v>
      </c>
      <c r="K173" s="7" t="str">
        <f t="shared" si="2"/>
        <v>Low Volume - Setup Needed</v>
      </c>
      <c r="L173" s="10" t="str">
        <f t="shared" si="3"/>
        <v>Low/no B2B traffic yet - set a Business Price (5-10% below retail) and Quantity Discount tiers (e.g. 5+ units 5% off, 10+ units 10% off) to attract first B2B interest; add bulk/case-pack info to title and bullets</v>
      </c>
    </row>
    <row r="174" ht="14.25" customHeight="1">
      <c r="A174" s="10" t="s">
        <v>209</v>
      </c>
      <c r="B174" s="10">
        <v>1.0</v>
      </c>
      <c r="C174" s="10">
        <v>1.0</v>
      </c>
      <c r="D174" s="10">
        <v>1.0</v>
      </c>
      <c r="E174" s="10">
        <v>0.0</v>
      </c>
      <c r="F174" s="10">
        <v>0.0</v>
      </c>
      <c r="G174" s="10">
        <v>0.0</v>
      </c>
      <c r="H174" s="14">
        <v>0.0</v>
      </c>
      <c r="I174" s="7">
        <f t="shared" si="1"/>
        <v>-1</v>
      </c>
      <c r="J174" s="10" t="str">
        <f>IF(MAX(B174,E174)&gt;=Thresholds!$C$7,"Tier 3 - High",IF(MAX(B174,E174)&gt;=Thresholds!$C$6,"Tier 2 - Moderate","Tier 1 - Low"))</f>
        <v>Tier 1 - Low</v>
      </c>
      <c r="K174" s="7" t="str">
        <f t="shared" si="2"/>
        <v>Low Volume - Setup Needed</v>
      </c>
      <c r="L174" s="10" t="str">
        <f t="shared" si="3"/>
        <v>Low/no B2B traffic yet - set a Business Price (5-10% below retail) and Quantity Discount tiers (e.g. 5+ units 5% off, 10+ units 10% off) to attract first B2B interest; add bulk/case-pack info to title and bullets</v>
      </c>
    </row>
    <row r="175" ht="14.25" customHeight="1">
      <c r="A175" s="10" t="s">
        <v>210</v>
      </c>
      <c r="B175" s="10">
        <v>1.0</v>
      </c>
      <c r="C175" s="10">
        <v>1.0</v>
      </c>
      <c r="D175" s="10">
        <v>0.0</v>
      </c>
      <c r="E175" s="10">
        <v>0.0</v>
      </c>
      <c r="F175" s="10">
        <v>0.0</v>
      </c>
      <c r="G175" s="10">
        <v>0.0</v>
      </c>
      <c r="H175" s="14">
        <v>0.0</v>
      </c>
      <c r="I175" s="7">
        <f t="shared" si="1"/>
        <v>-1</v>
      </c>
      <c r="J175" s="10" t="str">
        <f>IF(MAX(B175,E175)&gt;=Thresholds!$C$7,"Tier 3 - High",IF(MAX(B175,E175)&gt;=Thresholds!$C$6,"Tier 2 - Moderate","Tier 1 - Low"))</f>
        <v>Tier 1 - Low</v>
      </c>
      <c r="K175" s="7" t="str">
        <f t="shared" si="2"/>
        <v>Low Volume - Setup Needed</v>
      </c>
      <c r="L175" s="10" t="str">
        <f t="shared" si="3"/>
        <v>Low/no B2B traffic yet - set a Business Price (5-10% below retail) and Quantity Discount tiers (e.g. 5+ units 5% off, 10+ units 10% off) to attract first B2B interest; add bulk/case-pack info to title and bullets</v>
      </c>
    </row>
    <row r="176" ht="14.25" customHeight="1">
      <c r="A176" s="10" t="s">
        <v>211</v>
      </c>
      <c r="B176" s="10">
        <v>2.0</v>
      </c>
      <c r="C176" s="10">
        <v>3.0</v>
      </c>
      <c r="D176" s="10">
        <v>0.0</v>
      </c>
      <c r="E176" s="10">
        <v>1.0</v>
      </c>
      <c r="F176" s="10">
        <v>1.0</v>
      </c>
      <c r="G176" s="10">
        <v>0.0</v>
      </c>
      <c r="H176" s="14">
        <v>0.9091</v>
      </c>
      <c r="I176" s="7">
        <f t="shared" si="1"/>
        <v>-1</v>
      </c>
      <c r="J176" s="10" t="str">
        <f>IF(MAX(B176,E176)&gt;=Thresholds!$C$7,"Tier 3 - High",IF(MAX(B176,E176)&gt;=Thresholds!$C$6,"Tier 2 - Moderate","Tier 1 - Low"))</f>
        <v>Tier 1 - Low</v>
      </c>
      <c r="K176" s="7" t="str">
        <f t="shared" si="2"/>
        <v>Low Volume - Setup Needed</v>
      </c>
      <c r="L176" s="10" t="str">
        <f t="shared" si="3"/>
        <v>Low/no B2B traffic yet - set a Business Price (5-10% below retail) and Quantity Discount tiers (e.g. 5+ units 5% off, 10+ units 10% off) to attract first B2B interest; add bulk/case-pack info to title and bullets</v>
      </c>
    </row>
    <row r="177" ht="14.25" customHeight="1">
      <c r="A177" s="10" t="s">
        <v>212</v>
      </c>
      <c r="B177" s="10">
        <v>1.0</v>
      </c>
      <c r="C177" s="10">
        <v>1.0</v>
      </c>
      <c r="D177" s="10">
        <v>0.0</v>
      </c>
      <c r="E177" s="10">
        <v>0.0</v>
      </c>
      <c r="F177" s="10">
        <v>0.0</v>
      </c>
      <c r="G177" s="10">
        <v>0.0</v>
      </c>
      <c r="H177" s="14">
        <v>1.0</v>
      </c>
      <c r="I177" s="7">
        <f t="shared" si="1"/>
        <v>-1</v>
      </c>
      <c r="J177" s="10" t="str">
        <f>IF(MAX(B177,E177)&gt;=Thresholds!$C$7,"Tier 3 - High",IF(MAX(B177,E177)&gt;=Thresholds!$C$6,"Tier 2 - Moderate","Tier 1 - Low"))</f>
        <v>Tier 1 - Low</v>
      </c>
      <c r="K177" s="7" t="str">
        <f t="shared" si="2"/>
        <v>Low Volume - Setup Needed</v>
      </c>
      <c r="L177" s="10" t="str">
        <f t="shared" si="3"/>
        <v>Low/no B2B traffic yet - set a Business Price (5-10% below retail) and Quantity Discount tiers (e.g. 5+ units 5% off, 10+ units 10% off) to attract first B2B interest; add bulk/case-pack info to title and bullets</v>
      </c>
    </row>
    <row r="178" ht="14.25" customHeight="1">
      <c r="A178" s="10" t="s">
        <v>213</v>
      </c>
      <c r="B178" s="10">
        <v>1.0</v>
      </c>
      <c r="C178" s="10">
        <v>1.0</v>
      </c>
      <c r="D178" s="10">
        <v>0.0</v>
      </c>
      <c r="E178" s="10">
        <v>0.0</v>
      </c>
      <c r="F178" s="10">
        <v>0.0</v>
      </c>
      <c r="G178" s="10">
        <v>0.0</v>
      </c>
      <c r="H178" s="14">
        <v>0.0</v>
      </c>
      <c r="I178" s="7">
        <f t="shared" si="1"/>
        <v>-1</v>
      </c>
      <c r="J178" s="10" t="str">
        <f>IF(MAX(B178,E178)&gt;=Thresholds!$C$7,"Tier 3 - High",IF(MAX(B178,E178)&gt;=Thresholds!$C$6,"Tier 2 - Moderate","Tier 1 - Low"))</f>
        <v>Tier 1 - Low</v>
      </c>
      <c r="K178" s="7" t="str">
        <f t="shared" si="2"/>
        <v>Low Volume - Setup Needed</v>
      </c>
      <c r="L178" s="10" t="str">
        <f t="shared" si="3"/>
        <v>Low/no B2B traffic yet - set a Business Price (5-10% below retail) and Quantity Discount tiers (e.g. 5+ units 5% off, 10+ units 10% off) to attract first B2B interest; add bulk/case-pack info to title and bullets</v>
      </c>
    </row>
    <row r="179" ht="14.25" customHeight="1">
      <c r="A179" s="10" t="s">
        <v>214</v>
      </c>
      <c r="B179" s="10">
        <v>1.0</v>
      </c>
      <c r="C179" s="10">
        <v>1.0</v>
      </c>
      <c r="D179" s="10">
        <v>0.0</v>
      </c>
      <c r="E179" s="10">
        <v>0.0</v>
      </c>
      <c r="F179" s="10">
        <v>0.0</v>
      </c>
      <c r="G179" s="10">
        <v>0.0</v>
      </c>
      <c r="H179" s="14">
        <v>1.0</v>
      </c>
      <c r="I179" s="7">
        <f t="shared" si="1"/>
        <v>-1</v>
      </c>
      <c r="J179" s="10" t="str">
        <f>IF(MAX(B179,E179)&gt;=Thresholds!$C$7,"Tier 3 - High",IF(MAX(B179,E179)&gt;=Thresholds!$C$6,"Tier 2 - Moderate","Tier 1 - Low"))</f>
        <v>Tier 1 - Low</v>
      </c>
      <c r="K179" s="7" t="str">
        <f t="shared" si="2"/>
        <v>Low Volume - Setup Needed</v>
      </c>
      <c r="L179" s="10" t="str">
        <f t="shared" si="3"/>
        <v>Low/no B2B traffic yet - set a Business Price (5-10% below retail) and Quantity Discount tiers (e.g. 5+ units 5% off, 10+ units 10% off) to attract first B2B interest; add bulk/case-pack info to title and bullets</v>
      </c>
    </row>
    <row r="180" ht="14.25" customHeight="1">
      <c r="A180" s="10" t="s">
        <v>215</v>
      </c>
      <c r="B180" s="10">
        <v>1.0</v>
      </c>
      <c r="C180" s="10">
        <v>1.0</v>
      </c>
      <c r="D180" s="10">
        <v>0.0</v>
      </c>
      <c r="E180" s="10">
        <v>0.0</v>
      </c>
      <c r="F180" s="10">
        <v>0.0</v>
      </c>
      <c r="G180" s="10">
        <v>0.0</v>
      </c>
      <c r="H180" s="14">
        <v>1.0</v>
      </c>
      <c r="I180" s="7">
        <f t="shared" si="1"/>
        <v>-1</v>
      </c>
      <c r="J180" s="10" t="str">
        <f>IF(MAX(B180,E180)&gt;=Thresholds!$C$7,"Tier 3 - High",IF(MAX(B180,E180)&gt;=Thresholds!$C$6,"Tier 2 - Moderate","Tier 1 - Low"))</f>
        <v>Tier 1 - Low</v>
      </c>
      <c r="K180" s="7" t="str">
        <f t="shared" si="2"/>
        <v>Low Volume - Setup Needed</v>
      </c>
      <c r="L180" s="10" t="str">
        <f t="shared" si="3"/>
        <v>Low/no B2B traffic yet - set a Business Price (5-10% below retail) and Quantity Discount tiers (e.g. 5+ units 5% off, 10+ units 10% off) to attract first B2B interest; add bulk/case-pack info to title and bullets</v>
      </c>
    </row>
    <row r="181" ht="14.25" customHeight="1">
      <c r="A181" s="10" t="s">
        <v>216</v>
      </c>
      <c r="B181" s="10">
        <v>1.0</v>
      </c>
      <c r="C181" s="10">
        <v>1.0</v>
      </c>
      <c r="D181" s="10">
        <v>0.0</v>
      </c>
      <c r="E181" s="10">
        <v>0.0</v>
      </c>
      <c r="F181" s="10">
        <v>0.0</v>
      </c>
      <c r="G181" s="10">
        <v>0.0</v>
      </c>
      <c r="H181" s="14">
        <v>0.0</v>
      </c>
      <c r="I181" s="7">
        <f t="shared" si="1"/>
        <v>-1</v>
      </c>
      <c r="J181" s="10" t="str">
        <f>IF(MAX(B181,E181)&gt;=Thresholds!$C$7,"Tier 3 - High",IF(MAX(B181,E181)&gt;=Thresholds!$C$6,"Tier 2 - Moderate","Tier 1 - Low"))</f>
        <v>Tier 1 - Low</v>
      </c>
      <c r="K181" s="7" t="str">
        <f t="shared" si="2"/>
        <v>Low Volume - Setup Needed</v>
      </c>
      <c r="L181" s="10" t="str">
        <f t="shared" si="3"/>
        <v>Low/no B2B traffic yet - set a Business Price (5-10% below retail) and Quantity Discount tiers (e.g. 5+ units 5% off, 10+ units 10% off) to attract first B2B interest; add bulk/case-pack info to title and bullets</v>
      </c>
    </row>
    <row r="182" ht="14.25" customHeight="1">
      <c r="A182" s="10" t="s">
        <v>217</v>
      </c>
      <c r="B182" s="10">
        <v>1.0</v>
      </c>
      <c r="C182" s="10">
        <v>1.0</v>
      </c>
      <c r="D182" s="10">
        <v>0.0</v>
      </c>
      <c r="E182" s="10">
        <v>0.0</v>
      </c>
      <c r="F182" s="10">
        <v>0.0</v>
      </c>
      <c r="G182" s="10">
        <v>0.0</v>
      </c>
      <c r="H182" s="14">
        <v>0.9091</v>
      </c>
      <c r="I182" s="7">
        <f t="shared" si="1"/>
        <v>-1</v>
      </c>
      <c r="J182" s="10" t="str">
        <f>IF(MAX(B182,E182)&gt;=Thresholds!$C$7,"Tier 3 - High",IF(MAX(B182,E182)&gt;=Thresholds!$C$6,"Tier 2 - Moderate","Tier 1 - Low"))</f>
        <v>Tier 1 - Low</v>
      </c>
      <c r="K182" s="7" t="str">
        <f t="shared" si="2"/>
        <v>Low Volume - Setup Needed</v>
      </c>
      <c r="L182" s="10" t="str">
        <f t="shared" si="3"/>
        <v>Low/no B2B traffic yet - set a Business Price (5-10% below retail) and Quantity Discount tiers (e.g. 5+ units 5% off, 10+ units 10% off) to attract first B2B interest; add bulk/case-pack info to title and bullets</v>
      </c>
    </row>
    <row r="183" ht="14.25" customHeight="1">
      <c r="A183" s="10" t="s">
        <v>218</v>
      </c>
      <c r="B183" s="10">
        <v>3.0</v>
      </c>
      <c r="C183" s="10">
        <v>5.0</v>
      </c>
      <c r="D183" s="10">
        <v>0.0</v>
      </c>
      <c r="E183" s="10">
        <v>2.0</v>
      </c>
      <c r="F183" s="10">
        <v>2.0</v>
      </c>
      <c r="G183" s="10">
        <v>1.0</v>
      </c>
      <c r="H183" s="14">
        <v>1.0</v>
      </c>
      <c r="I183" s="7">
        <f t="shared" si="1"/>
        <v>-1</v>
      </c>
      <c r="J183" s="10" t="str">
        <f>IF(MAX(B183,E183)&gt;=Thresholds!$C$7,"Tier 3 - High",IF(MAX(B183,E183)&gt;=Thresholds!$C$6,"Tier 2 - Moderate","Tier 1 - Low"))</f>
        <v>Tier 1 - Low</v>
      </c>
      <c r="K183" s="7" t="str">
        <f t="shared" si="2"/>
        <v>Low Volume - Setup Needed</v>
      </c>
      <c r="L183" s="10" t="str">
        <f t="shared" si="3"/>
        <v>Low/no B2B traffic yet - set a Business Price (5-10% below retail) and Quantity Discount tiers (e.g. 5+ units 5% off, 10+ units 10% off) to attract first B2B interest; add bulk/case-pack info to title and bullets</v>
      </c>
    </row>
    <row r="184" ht="14.25" customHeight="1">
      <c r="A184" s="10" t="s">
        <v>219</v>
      </c>
      <c r="B184" s="10">
        <v>3.0</v>
      </c>
      <c r="C184" s="10">
        <v>7.0</v>
      </c>
      <c r="D184" s="10">
        <v>2.0</v>
      </c>
      <c r="E184" s="10">
        <v>2.0</v>
      </c>
      <c r="F184" s="10">
        <v>2.0</v>
      </c>
      <c r="G184" s="10">
        <v>0.0</v>
      </c>
      <c r="H184" s="14">
        <v>0.7097</v>
      </c>
      <c r="I184" s="7">
        <f t="shared" si="1"/>
        <v>-1</v>
      </c>
      <c r="J184" s="10" t="str">
        <f>IF(MAX(B184,E184)&gt;=Thresholds!$C$7,"Tier 3 - High",IF(MAX(B184,E184)&gt;=Thresholds!$C$6,"Tier 2 - Moderate","Tier 1 - Low"))</f>
        <v>Tier 1 - Low</v>
      </c>
      <c r="K184" s="7" t="str">
        <f t="shared" si="2"/>
        <v>Low Volume - Setup Needed</v>
      </c>
      <c r="L184" s="10" t="str">
        <f t="shared" si="3"/>
        <v>Low/no B2B traffic yet - set a Business Price (5-10% below retail) and Quantity Discount tiers (e.g. 5+ units 5% off, 10+ units 10% off) to attract first B2B interest; add bulk/case-pack info to title and bullets</v>
      </c>
    </row>
    <row r="185" ht="14.25" customHeight="1">
      <c r="A185" s="10" t="s">
        <v>220</v>
      </c>
      <c r="B185" s="10">
        <v>1.0</v>
      </c>
      <c r="C185" s="10">
        <v>1.0</v>
      </c>
      <c r="D185" s="10">
        <v>0.0</v>
      </c>
      <c r="E185" s="10">
        <v>0.0</v>
      </c>
      <c r="F185" s="10">
        <v>0.0</v>
      </c>
      <c r="G185" s="10">
        <v>0.0</v>
      </c>
      <c r="H185" s="14">
        <v>0.0</v>
      </c>
      <c r="I185" s="7">
        <f t="shared" si="1"/>
        <v>-1</v>
      </c>
      <c r="J185" s="10" t="str">
        <f>IF(MAX(B185,E185)&gt;=Thresholds!$C$7,"Tier 3 - High",IF(MAX(B185,E185)&gt;=Thresholds!$C$6,"Tier 2 - Moderate","Tier 1 - Low"))</f>
        <v>Tier 1 - Low</v>
      </c>
      <c r="K185" s="7" t="str">
        <f t="shared" si="2"/>
        <v>Low Volume - Setup Needed</v>
      </c>
      <c r="L185" s="10" t="str">
        <f t="shared" si="3"/>
        <v>Low/no B2B traffic yet - set a Business Price (5-10% below retail) and Quantity Discount tiers (e.g. 5+ units 5% off, 10+ units 10% off) to attract first B2B interest; add bulk/case-pack info to title and bullets</v>
      </c>
    </row>
    <row r="186" ht="14.25" customHeight="1">
      <c r="A186" s="10" t="s">
        <v>221</v>
      </c>
      <c r="B186" s="10">
        <v>1.0</v>
      </c>
      <c r="C186" s="10">
        <v>2.0</v>
      </c>
      <c r="D186" s="10">
        <v>0.0</v>
      </c>
      <c r="E186" s="10">
        <v>0.0</v>
      </c>
      <c r="F186" s="10">
        <v>0.0</v>
      </c>
      <c r="G186" s="10">
        <v>0.0</v>
      </c>
      <c r="H186" s="14">
        <v>0.9348</v>
      </c>
      <c r="I186" s="7">
        <f t="shared" si="1"/>
        <v>-1</v>
      </c>
      <c r="J186" s="10" t="str">
        <f>IF(MAX(B186,E186)&gt;=Thresholds!$C$7,"Tier 3 - High",IF(MAX(B186,E186)&gt;=Thresholds!$C$6,"Tier 2 - Moderate","Tier 1 - Low"))</f>
        <v>Tier 1 - Low</v>
      </c>
      <c r="K186" s="7" t="str">
        <f t="shared" si="2"/>
        <v>Low Volume - Setup Needed</v>
      </c>
      <c r="L186" s="10" t="str">
        <f t="shared" si="3"/>
        <v>Low/no B2B traffic yet - set a Business Price (5-10% below retail) and Quantity Discount tiers (e.g. 5+ units 5% off, 10+ units 10% off) to attract first B2B interest; add bulk/case-pack info to title and bullets</v>
      </c>
    </row>
    <row r="187" ht="14.25" customHeight="1">
      <c r="A187" s="10" t="s">
        <v>222</v>
      </c>
      <c r="B187" s="10">
        <v>1.0</v>
      </c>
      <c r="C187" s="10">
        <v>1.0</v>
      </c>
      <c r="D187" s="10">
        <v>0.0</v>
      </c>
      <c r="E187" s="10">
        <v>0.0</v>
      </c>
      <c r="F187" s="10">
        <v>0.0</v>
      </c>
      <c r="G187" s="10">
        <v>0.0</v>
      </c>
      <c r="H187" s="14">
        <v>0.9545</v>
      </c>
      <c r="I187" s="7">
        <f t="shared" si="1"/>
        <v>-1</v>
      </c>
      <c r="J187" s="10" t="str">
        <f>IF(MAX(B187,E187)&gt;=Thresholds!$C$7,"Tier 3 - High",IF(MAX(B187,E187)&gt;=Thresholds!$C$6,"Tier 2 - Moderate","Tier 1 - Low"))</f>
        <v>Tier 1 - Low</v>
      </c>
      <c r="K187" s="7" t="str">
        <f t="shared" si="2"/>
        <v>Low Volume - Setup Needed</v>
      </c>
      <c r="L187" s="10" t="str">
        <f t="shared" si="3"/>
        <v>Low/no B2B traffic yet - set a Business Price (5-10% below retail) and Quantity Discount tiers (e.g. 5+ units 5% off, 10+ units 10% off) to attract first B2B interest; add bulk/case-pack info to title and bullets</v>
      </c>
    </row>
    <row r="188" ht="14.25" customHeight="1">
      <c r="A188" s="10" t="s">
        <v>223</v>
      </c>
      <c r="B188" s="10">
        <v>1.0</v>
      </c>
      <c r="C188" s="10">
        <v>1.0</v>
      </c>
      <c r="D188" s="10">
        <v>0.0</v>
      </c>
      <c r="E188" s="10">
        <v>0.0</v>
      </c>
      <c r="F188" s="10">
        <v>0.0</v>
      </c>
      <c r="G188" s="10">
        <v>0.0</v>
      </c>
      <c r="H188" s="14">
        <v>0.6786</v>
      </c>
      <c r="I188" s="7">
        <f t="shared" si="1"/>
        <v>-1</v>
      </c>
      <c r="J188" s="10" t="str">
        <f>IF(MAX(B188,E188)&gt;=Thresholds!$C$7,"Tier 3 - High",IF(MAX(B188,E188)&gt;=Thresholds!$C$6,"Tier 2 - Moderate","Tier 1 - Low"))</f>
        <v>Tier 1 - Low</v>
      </c>
      <c r="K188" s="7" t="str">
        <f t="shared" si="2"/>
        <v>Low Volume - Setup Needed</v>
      </c>
      <c r="L188" s="10" t="str">
        <f t="shared" si="3"/>
        <v>Low/no B2B traffic yet - set a Business Price (5-10% below retail) and Quantity Discount tiers (e.g. 5+ units 5% off, 10+ units 10% off) to attract first B2B interest; add bulk/case-pack info to title and bullets</v>
      </c>
    </row>
    <row r="189" ht="14.25" customHeight="1">
      <c r="A189" s="10" t="s">
        <v>224</v>
      </c>
      <c r="B189" s="10">
        <v>1.0</v>
      </c>
      <c r="C189" s="10">
        <v>1.0</v>
      </c>
      <c r="D189" s="10">
        <v>0.0</v>
      </c>
      <c r="E189" s="10">
        <v>0.0</v>
      </c>
      <c r="F189" s="10">
        <v>0.0</v>
      </c>
      <c r="G189" s="10">
        <v>0.0</v>
      </c>
      <c r="H189" s="14">
        <v>0.0</v>
      </c>
      <c r="I189" s="7">
        <f t="shared" si="1"/>
        <v>-1</v>
      </c>
      <c r="J189" s="10" t="str">
        <f>IF(MAX(B189,E189)&gt;=Thresholds!$C$7,"Tier 3 - High",IF(MAX(B189,E189)&gt;=Thresholds!$C$6,"Tier 2 - Moderate","Tier 1 - Low"))</f>
        <v>Tier 1 - Low</v>
      </c>
      <c r="K189" s="7" t="str">
        <f t="shared" si="2"/>
        <v>Low Volume - Setup Needed</v>
      </c>
      <c r="L189" s="10" t="str">
        <f t="shared" si="3"/>
        <v>Low/no B2B traffic yet - set a Business Price (5-10% below retail) and Quantity Discount tiers (e.g. 5+ units 5% off, 10+ units 10% off) to attract first B2B interest; add bulk/case-pack info to title and bullets</v>
      </c>
    </row>
    <row r="190" ht="14.25" customHeight="1">
      <c r="A190" s="10" t="s">
        <v>225</v>
      </c>
      <c r="B190" s="10">
        <v>2.0</v>
      </c>
      <c r="C190" s="10">
        <v>5.0</v>
      </c>
      <c r="D190" s="10">
        <v>0.0</v>
      </c>
      <c r="E190" s="10">
        <v>1.0</v>
      </c>
      <c r="F190" s="10">
        <v>1.0</v>
      </c>
      <c r="G190" s="10">
        <v>0.0</v>
      </c>
      <c r="H190" s="14">
        <v>0.1667</v>
      </c>
      <c r="I190" s="7">
        <f t="shared" si="1"/>
        <v>-1</v>
      </c>
      <c r="J190" s="10" t="str">
        <f>IF(MAX(B190,E190)&gt;=Thresholds!$C$7,"Tier 3 - High",IF(MAX(B190,E190)&gt;=Thresholds!$C$6,"Tier 2 - Moderate","Tier 1 - Low"))</f>
        <v>Tier 1 - Low</v>
      </c>
      <c r="K190" s="7" t="str">
        <f t="shared" si="2"/>
        <v>Low Volume - Setup Needed</v>
      </c>
      <c r="L190" s="10" t="str">
        <f t="shared" si="3"/>
        <v>Low/no B2B traffic yet - set a Business Price (5-10% below retail) and Quantity Discount tiers (e.g. 5+ units 5% off, 10+ units 10% off) to attract first B2B interest; add bulk/case-pack info to title and bullets</v>
      </c>
    </row>
    <row r="191" ht="14.25" customHeight="1">
      <c r="A191" s="10" t="s">
        <v>226</v>
      </c>
      <c r="B191" s="10">
        <v>2.0</v>
      </c>
      <c r="C191" s="10">
        <v>3.0</v>
      </c>
      <c r="D191" s="10">
        <v>1.0</v>
      </c>
      <c r="E191" s="10">
        <v>1.0</v>
      </c>
      <c r="F191" s="10">
        <v>1.0</v>
      </c>
      <c r="G191" s="10">
        <v>0.0</v>
      </c>
      <c r="H191" s="14">
        <v>0.9286</v>
      </c>
      <c r="I191" s="7">
        <f t="shared" si="1"/>
        <v>-1</v>
      </c>
      <c r="J191" s="10" t="str">
        <f>IF(MAX(B191,E191)&gt;=Thresholds!$C$7,"Tier 3 - High",IF(MAX(B191,E191)&gt;=Thresholds!$C$6,"Tier 2 - Moderate","Tier 1 - Low"))</f>
        <v>Tier 1 - Low</v>
      </c>
      <c r="K191" s="7" t="str">
        <f t="shared" si="2"/>
        <v>Low Volume - Setup Needed</v>
      </c>
      <c r="L191" s="10" t="str">
        <f t="shared" si="3"/>
        <v>Low/no B2B traffic yet - set a Business Price (5-10% below retail) and Quantity Discount tiers (e.g. 5+ units 5% off, 10+ units 10% off) to attract first B2B interest; add bulk/case-pack info to title and bullets</v>
      </c>
    </row>
    <row r="192" ht="14.25" customHeight="1">
      <c r="A192" s="10" t="s">
        <v>227</v>
      </c>
      <c r="B192" s="10">
        <v>1.0</v>
      </c>
      <c r="C192" s="10">
        <v>1.0</v>
      </c>
      <c r="D192" s="10">
        <v>0.0</v>
      </c>
      <c r="E192" s="10">
        <v>0.0</v>
      </c>
      <c r="F192" s="10">
        <v>0.0</v>
      </c>
      <c r="G192" s="10">
        <v>0.0</v>
      </c>
      <c r="H192" s="14">
        <v>0.0</v>
      </c>
      <c r="I192" s="7">
        <f t="shared" si="1"/>
        <v>-1</v>
      </c>
      <c r="J192" s="10" t="str">
        <f>IF(MAX(B192,E192)&gt;=Thresholds!$C$7,"Tier 3 - High",IF(MAX(B192,E192)&gt;=Thresholds!$C$6,"Tier 2 - Moderate","Tier 1 - Low"))</f>
        <v>Tier 1 - Low</v>
      </c>
      <c r="K192" s="7" t="str">
        <f t="shared" si="2"/>
        <v>Low Volume - Setup Needed</v>
      </c>
      <c r="L192" s="10" t="str">
        <f t="shared" si="3"/>
        <v>Low/no B2B traffic yet - set a Business Price (5-10% below retail) and Quantity Discount tiers (e.g. 5+ units 5% off, 10+ units 10% off) to attract first B2B interest; add bulk/case-pack info to title and bullets</v>
      </c>
    </row>
    <row r="193" ht="14.25" customHeight="1">
      <c r="A193" s="10" t="s">
        <v>228</v>
      </c>
      <c r="B193" s="10">
        <v>1.0</v>
      </c>
      <c r="C193" s="10">
        <v>1.0</v>
      </c>
      <c r="D193" s="10">
        <v>0.0</v>
      </c>
      <c r="E193" s="10">
        <v>0.0</v>
      </c>
      <c r="F193" s="10">
        <v>0.0</v>
      </c>
      <c r="G193" s="10">
        <v>0.0</v>
      </c>
      <c r="H193" s="14">
        <v>1.0</v>
      </c>
      <c r="I193" s="7">
        <f t="shared" si="1"/>
        <v>-1</v>
      </c>
      <c r="J193" s="10" t="str">
        <f>IF(MAX(B193,E193)&gt;=Thresholds!$C$7,"Tier 3 - High",IF(MAX(B193,E193)&gt;=Thresholds!$C$6,"Tier 2 - Moderate","Tier 1 - Low"))</f>
        <v>Tier 1 - Low</v>
      </c>
      <c r="K193" s="7" t="str">
        <f t="shared" si="2"/>
        <v>Low Volume - Setup Needed</v>
      </c>
      <c r="L193" s="10" t="str">
        <f t="shared" si="3"/>
        <v>Low/no B2B traffic yet - set a Business Price (5-10% below retail) and Quantity Discount tiers (e.g. 5+ units 5% off, 10+ units 10% off) to attract first B2B interest; add bulk/case-pack info to title and bullets</v>
      </c>
    </row>
    <row r="194" ht="14.25" customHeight="1">
      <c r="A194" s="10" t="s">
        <v>229</v>
      </c>
      <c r="B194" s="10">
        <v>1.0</v>
      </c>
      <c r="C194" s="10">
        <v>2.0</v>
      </c>
      <c r="D194" s="10">
        <v>1.0</v>
      </c>
      <c r="E194" s="10">
        <v>0.0</v>
      </c>
      <c r="F194" s="10">
        <v>0.0</v>
      </c>
      <c r="G194" s="10">
        <v>0.0</v>
      </c>
      <c r="H194" s="14">
        <v>0.0</v>
      </c>
      <c r="I194" s="7">
        <f t="shared" si="1"/>
        <v>-1</v>
      </c>
      <c r="J194" s="10" t="str">
        <f>IF(MAX(B194,E194)&gt;=Thresholds!$C$7,"Tier 3 - High",IF(MAX(B194,E194)&gt;=Thresholds!$C$6,"Tier 2 - Moderate","Tier 1 - Low"))</f>
        <v>Tier 1 - Low</v>
      </c>
      <c r="K194" s="7" t="str">
        <f t="shared" si="2"/>
        <v>Low Volume - Setup Needed</v>
      </c>
      <c r="L194" s="10" t="str">
        <f t="shared" si="3"/>
        <v>Low/no B2B traffic yet - set a Business Price (5-10% below retail) and Quantity Discount tiers (e.g. 5+ units 5% off, 10+ units 10% off) to attract first B2B interest; add bulk/case-pack info to title and bullets</v>
      </c>
    </row>
    <row r="195" ht="14.25" customHeight="1">
      <c r="A195" s="10" t="s">
        <v>230</v>
      </c>
      <c r="B195" s="10">
        <v>1.0</v>
      </c>
      <c r="C195" s="10">
        <v>1.0</v>
      </c>
      <c r="D195" s="10">
        <v>0.0</v>
      </c>
      <c r="E195" s="10">
        <v>0.0</v>
      </c>
      <c r="F195" s="10">
        <v>0.0</v>
      </c>
      <c r="G195" s="10">
        <v>0.0</v>
      </c>
      <c r="H195" s="14">
        <v>1.0</v>
      </c>
      <c r="I195" s="7">
        <f t="shared" si="1"/>
        <v>-1</v>
      </c>
      <c r="J195" s="10" t="str">
        <f>IF(MAX(B195,E195)&gt;=Thresholds!$C$7,"Tier 3 - High",IF(MAX(B195,E195)&gt;=Thresholds!$C$6,"Tier 2 - Moderate","Tier 1 - Low"))</f>
        <v>Tier 1 - Low</v>
      </c>
      <c r="K195" s="7" t="str">
        <f t="shared" si="2"/>
        <v>Low Volume - Setup Needed</v>
      </c>
      <c r="L195" s="10" t="str">
        <f t="shared" si="3"/>
        <v>Low/no B2B traffic yet - set a Business Price (5-10% below retail) and Quantity Discount tiers (e.g. 5+ units 5% off, 10+ units 10% off) to attract first B2B interest; add bulk/case-pack info to title and bullets</v>
      </c>
    </row>
    <row r="196" ht="14.25" customHeight="1">
      <c r="A196" s="10" t="s">
        <v>231</v>
      </c>
      <c r="B196" s="10">
        <v>1.0</v>
      </c>
      <c r="C196" s="10">
        <v>1.0</v>
      </c>
      <c r="D196" s="10">
        <v>0.0</v>
      </c>
      <c r="E196" s="10">
        <v>0.0</v>
      </c>
      <c r="F196" s="10">
        <v>0.0</v>
      </c>
      <c r="G196" s="10">
        <v>0.0</v>
      </c>
      <c r="H196" s="14">
        <v>1.0</v>
      </c>
      <c r="I196" s="7">
        <f t="shared" si="1"/>
        <v>-1</v>
      </c>
      <c r="J196" s="10" t="str">
        <f>IF(MAX(B196,E196)&gt;=Thresholds!$C$7,"Tier 3 - High",IF(MAX(B196,E196)&gt;=Thresholds!$C$6,"Tier 2 - Moderate","Tier 1 - Low"))</f>
        <v>Tier 1 - Low</v>
      </c>
      <c r="K196" s="7" t="str">
        <f t="shared" si="2"/>
        <v>Low Volume - Setup Needed</v>
      </c>
      <c r="L196" s="10" t="str">
        <f t="shared" si="3"/>
        <v>Low/no B2B traffic yet - set a Business Price (5-10% below retail) and Quantity Discount tiers (e.g. 5+ units 5% off, 10+ units 10% off) to attract first B2B interest; add bulk/case-pack info to title and bullets</v>
      </c>
    </row>
    <row r="197" ht="14.25" customHeight="1">
      <c r="A197" s="10" t="s">
        <v>232</v>
      </c>
      <c r="B197" s="10">
        <v>1.0</v>
      </c>
      <c r="C197" s="10">
        <v>3.0</v>
      </c>
      <c r="D197" s="10">
        <v>0.0</v>
      </c>
      <c r="E197" s="10">
        <v>0.0</v>
      </c>
      <c r="F197" s="10">
        <v>0.0</v>
      </c>
      <c r="G197" s="10">
        <v>0.0</v>
      </c>
      <c r="H197" s="14">
        <v>0.907</v>
      </c>
      <c r="I197" s="7">
        <f t="shared" si="1"/>
        <v>-1</v>
      </c>
      <c r="J197" s="10" t="str">
        <f>IF(MAX(B197,E197)&gt;=Thresholds!$C$7,"Tier 3 - High",IF(MAX(B197,E197)&gt;=Thresholds!$C$6,"Tier 2 - Moderate","Tier 1 - Low"))</f>
        <v>Tier 1 - Low</v>
      </c>
      <c r="K197" s="7" t="str">
        <f t="shared" si="2"/>
        <v>Low Volume - Setup Needed</v>
      </c>
      <c r="L197" s="10" t="str">
        <f t="shared" si="3"/>
        <v>Low/no B2B traffic yet - set a Business Price (5-10% below retail) and Quantity Discount tiers (e.g. 5+ units 5% off, 10+ units 10% off) to attract first B2B interest; add bulk/case-pack info to title and bullets</v>
      </c>
    </row>
    <row r="198" ht="14.25" customHeight="1">
      <c r="A198" s="10" t="s">
        <v>233</v>
      </c>
      <c r="B198" s="10">
        <v>1.0</v>
      </c>
      <c r="C198" s="10">
        <v>1.0</v>
      </c>
      <c r="D198" s="10">
        <v>0.0</v>
      </c>
      <c r="E198" s="10">
        <v>0.0</v>
      </c>
      <c r="F198" s="10">
        <v>0.0</v>
      </c>
      <c r="G198" s="10">
        <v>0.0</v>
      </c>
      <c r="H198" s="14">
        <v>1.0</v>
      </c>
      <c r="I198" s="7">
        <f t="shared" si="1"/>
        <v>-1</v>
      </c>
      <c r="J198" s="10" t="str">
        <f>IF(MAX(B198,E198)&gt;=Thresholds!$C$7,"Tier 3 - High",IF(MAX(B198,E198)&gt;=Thresholds!$C$6,"Tier 2 - Moderate","Tier 1 - Low"))</f>
        <v>Tier 1 - Low</v>
      </c>
      <c r="K198" s="7" t="str">
        <f t="shared" si="2"/>
        <v>Low Volume - Setup Needed</v>
      </c>
      <c r="L198" s="10" t="str">
        <f t="shared" si="3"/>
        <v>Low/no B2B traffic yet - set a Business Price (5-10% below retail) and Quantity Discount tiers (e.g. 5+ units 5% off, 10+ units 10% off) to attract first B2B interest; add bulk/case-pack info to title and bullets</v>
      </c>
    </row>
    <row r="199" ht="14.25" customHeight="1">
      <c r="A199" s="10" t="s">
        <v>234</v>
      </c>
      <c r="B199" s="10">
        <v>1.0</v>
      </c>
      <c r="C199" s="10">
        <v>2.0</v>
      </c>
      <c r="D199" s="10">
        <v>0.0</v>
      </c>
      <c r="E199" s="10">
        <v>0.0</v>
      </c>
      <c r="F199" s="10">
        <v>0.0</v>
      </c>
      <c r="G199" s="10">
        <v>0.0</v>
      </c>
      <c r="H199" s="14">
        <v>1.0</v>
      </c>
      <c r="I199" s="7">
        <f t="shared" si="1"/>
        <v>-1</v>
      </c>
      <c r="J199" s="10" t="str">
        <f>IF(MAX(B199,E199)&gt;=Thresholds!$C$7,"Tier 3 - High",IF(MAX(B199,E199)&gt;=Thresholds!$C$6,"Tier 2 - Moderate","Tier 1 - Low"))</f>
        <v>Tier 1 - Low</v>
      </c>
      <c r="K199" s="7" t="str">
        <f t="shared" si="2"/>
        <v>Low Volume - Setup Needed</v>
      </c>
      <c r="L199" s="10" t="str">
        <f t="shared" si="3"/>
        <v>Low/no B2B traffic yet - set a Business Price (5-10% below retail) and Quantity Discount tiers (e.g. 5+ units 5% off, 10+ units 10% off) to attract first B2B interest; add bulk/case-pack info to title and bullets</v>
      </c>
    </row>
    <row r="200" ht="14.25" customHeight="1">
      <c r="A200" s="10" t="s">
        <v>235</v>
      </c>
      <c r="B200" s="10">
        <v>1.0</v>
      </c>
      <c r="C200" s="10">
        <v>1.0</v>
      </c>
      <c r="D200" s="10">
        <v>0.0</v>
      </c>
      <c r="E200" s="10">
        <v>0.0</v>
      </c>
      <c r="F200" s="10">
        <v>0.0</v>
      </c>
      <c r="G200" s="10">
        <v>0.0</v>
      </c>
      <c r="H200" s="14">
        <v>1.0</v>
      </c>
      <c r="I200" s="7">
        <f t="shared" si="1"/>
        <v>-1</v>
      </c>
      <c r="J200" s="10" t="str">
        <f>IF(MAX(B200,E200)&gt;=Thresholds!$C$7,"Tier 3 - High",IF(MAX(B200,E200)&gt;=Thresholds!$C$6,"Tier 2 - Moderate","Tier 1 - Low"))</f>
        <v>Tier 1 - Low</v>
      </c>
      <c r="K200" s="7" t="str">
        <f t="shared" si="2"/>
        <v>Low Volume - Setup Needed</v>
      </c>
      <c r="L200" s="10" t="str">
        <f t="shared" si="3"/>
        <v>Low/no B2B traffic yet - set a Business Price (5-10% below retail) and Quantity Discount tiers (e.g. 5+ units 5% off, 10+ units 10% off) to attract first B2B interest; add bulk/case-pack info to title and bullets</v>
      </c>
    </row>
    <row r="201" ht="14.25" customHeight="1">
      <c r="A201" s="10" t="s">
        <v>236</v>
      </c>
      <c r="B201" s="10">
        <v>1.0</v>
      </c>
      <c r="C201" s="10">
        <v>1.0</v>
      </c>
      <c r="D201" s="10">
        <v>0.0</v>
      </c>
      <c r="E201" s="10">
        <v>0.0</v>
      </c>
      <c r="F201" s="10">
        <v>0.0</v>
      </c>
      <c r="G201" s="10">
        <v>0.0</v>
      </c>
      <c r="H201" s="14">
        <v>0.0</v>
      </c>
      <c r="I201" s="7">
        <f t="shared" si="1"/>
        <v>-1</v>
      </c>
      <c r="J201" s="10" t="str">
        <f>IF(MAX(B201,E201)&gt;=Thresholds!$C$7,"Tier 3 - High",IF(MAX(B201,E201)&gt;=Thresholds!$C$6,"Tier 2 - Moderate","Tier 1 - Low"))</f>
        <v>Tier 1 - Low</v>
      </c>
      <c r="K201" s="7" t="str">
        <f t="shared" si="2"/>
        <v>Low Volume - Setup Needed</v>
      </c>
      <c r="L201" s="10" t="str">
        <f t="shared" si="3"/>
        <v>Low/no B2B traffic yet - set a Business Price (5-10% below retail) and Quantity Discount tiers (e.g. 5+ units 5% off, 10+ units 10% off) to attract first B2B interest; add bulk/case-pack info to title and bullets</v>
      </c>
    </row>
    <row r="202" ht="14.25" customHeight="1">
      <c r="A202" s="10" t="s">
        <v>237</v>
      </c>
      <c r="B202" s="10">
        <v>1.0</v>
      </c>
      <c r="C202" s="10">
        <v>1.0</v>
      </c>
      <c r="D202" s="10">
        <v>0.0</v>
      </c>
      <c r="E202" s="10">
        <v>0.0</v>
      </c>
      <c r="F202" s="10">
        <v>0.0</v>
      </c>
      <c r="G202" s="10">
        <v>0.0</v>
      </c>
      <c r="H202" s="14">
        <v>1.0</v>
      </c>
      <c r="I202" s="7">
        <f t="shared" si="1"/>
        <v>-1</v>
      </c>
      <c r="J202" s="10" t="str">
        <f>IF(MAX(B202,E202)&gt;=Thresholds!$C$7,"Tier 3 - High",IF(MAX(B202,E202)&gt;=Thresholds!$C$6,"Tier 2 - Moderate","Tier 1 - Low"))</f>
        <v>Tier 1 - Low</v>
      </c>
      <c r="K202" s="7" t="str">
        <f t="shared" si="2"/>
        <v>Low Volume - Setup Needed</v>
      </c>
      <c r="L202" s="10" t="str">
        <f t="shared" si="3"/>
        <v>Low/no B2B traffic yet - set a Business Price (5-10% below retail) and Quantity Discount tiers (e.g. 5+ units 5% off, 10+ units 10% off) to attract first B2B interest; add bulk/case-pack info to title and bullets</v>
      </c>
    </row>
    <row r="203" ht="14.25" customHeight="1">
      <c r="A203" s="10" t="s">
        <v>238</v>
      </c>
      <c r="B203" s="10">
        <v>1.0</v>
      </c>
      <c r="C203" s="10">
        <v>1.0</v>
      </c>
      <c r="D203" s="10">
        <v>0.0</v>
      </c>
      <c r="E203" s="10">
        <v>0.0</v>
      </c>
      <c r="F203" s="10">
        <v>0.0</v>
      </c>
      <c r="G203" s="10">
        <v>0.0</v>
      </c>
      <c r="H203" s="14">
        <v>0.8</v>
      </c>
      <c r="I203" s="7">
        <f t="shared" si="1"/>
        <v>-1</v>
      </c>
      <c r="J203" s="10" t="str">
        <f>IF(MAX(B203,E203)&gt;=Thresholds!$C$7,"Tier 3 - High",IF(MAX(B203,E203)&gt;=Thresholds!$C$6,"Tier 2 - Moderate","Tier 1 - Low"))</f>
        <v>Tier 1 - Low</v>
      </c>
      <c r="K203" s="7" t="str">
        <f t="shared" si="2"/>
        <v>Low Volume - Setup Needed</v>
      </c>
      <c r="L203" s="10" t="str">
        <f t="shared" si="3"/>
        <v>Low/no B2B traffic yet - set a Business Price (5-10% below retail) and Quantity Discount tiers (e.g. 5+ units 5% off, 10+ units 10% off) to attract first B2B interest; add bulk/case-pack info to title and bullets</v>
      </c>
    </row>
    <row r="204" ht="14.25" customHeight="1">
      <c r="A204" s="10" t="s">
        <v>239</v>
      </c>
      <c r="B204" s="10">
        <v>1.0</v>
      </c>
      <c r="C204" s="10">
        <v>2.0</v>
      </c>
      <c r="D204" s="10">
        <v>10.0</v>
      </c>
      <c r="E204" s="10">
        <v>0.0</v>
      </c>
      <c r="F204" s="10">
        <v>0.0</v>
      </c>
      <c r="G204" s="10">
        <v>0.0</v>
      </c>
      <c r="H204" s="14">
        <v>1.0</v>
      </c>
      <c r="I204" s="7">
        <f t="shared" si="1"/>
        <v>-1</v>
      </c>
      <c r="J204" s="10" t="str">
        <f>IF(MAX(B204,E204)&gt;=Thresholds!$C$7,"Tier 3 - High",IF(MAX(B204,E204)&gt;=Thresholds!$C$6,"Tier 2 - Moderate","Tier 1 - Low"))</f>
        <v>Tier 1 - Low</v>
      </c>
      <c r="K204" s="7" t="str">
        <f t="shared" si="2"/>
        <v>Low Volume - Setup Needed</v>
      </c>
      <c r="L204" s="10" t="str">
        <f t="shared" si="3"/>
        <v>Low/no B2B traffic yet - set a Business Price (5-10% below retail) and Quantity Discount tiers (e.g. 5+ units 5% off, 10+ units 10% off) to attract first B2B interest; add bulk/case-pack info to title and bullets</v>
      </c>
    </row>
    <row r="205" ht="14.25" customHeight="1">
      <c r="A205" s="10" t="s">
        <v>240</v>
      </c>
      <c r="B205" s="10">
        <v>1.0</v>
      </c>
      <c r="C205" s="10">
        <v>1.0</v>
      </c>
      <c r="D205" s="10">
        <v>0.0</v>
      </c>
      <c r="E205" s="10">
        <v>0.0</v>
      </c>
      <c r="F205" s="10">
        <v>0.0</v>
      </c>
      <c r="G205" s="10">
        <v>0.0</v>
      </c>
      <c r="H205" s="14">
        <v>1.0</v>
      </c>
      <c r="I205" s="7">
        <f t="shared" si="1"/>
        <v>-1</v>
      </c>
      <c r="J205" s="10" t="str">
        <f>IF(MAX(B205,E205)&gt;=Thresholds!$C$7,"Tier 3 - High",IF(MAX(B205,E205)&gt;=Thresholds!$C$6,"Tier 2 - Moderate","Tier 1 - Low"))</f>
        <v>Tier 1 - Low</v>
      </c>
      <c r="K205" s="7" t="str">
        <f t="shared" si="2"/>
        <v>Low Volume - Setup Needed</v>
      </c>
      <c r="L205" s="10" t="str">
        <f t="shared" si="3"/>
        <v>Low/no B2B traffic yet - set a Business Price (5-10% below retail) and Quantity Discount tiers (e.g. 5+ units 5% off, 10+ units 10% off) to attract first B2B interest; add bulk/case-pack info to title and bullets</v>
      </c>
    </row>
    <row r="206" ht="14.25" customHeight="1">
      <c r="A206" s="10" t="s">
        <v>241</v>
      </c>
      <c r="B206" s="10">
        <v>1.0</v>
      </c>
      <c r="C206" s="10">
        <v>1.0</v>
      </c>
      <c r="D206" s="10">
        <v>0.0</v>
      </c>
      <c r="E206" s="10">
        <v>0.0</v>
      </c>
      <c r="F206" s="10">
        <v>0.0</v>
      </c>
      <c r="G206" s="10">
        <v>0.0</v>
      </c>
      <c r="H206" s="14">
        <v>1.0</v>
      </c>
      <c r="I206" s="7">
        <f t="shared" si="1"/>
        <v>-1</v>
      </c>
      <c r="J206" s="10" t="str">
        <f>IF(MAX(B206,E206)&gt;=Thresholds!$C$7,"Tier 3 - High",IF(MAX(B206,E206)&gt;=Thresholds!$C$6,"Tier 2 - Moderate","Tier 1 - Low"))</f>
        <v>Tier 1 - Low</v>
      </c>
      <c r="K206" s="7" t="str">
        <f t="shared" si="2"/>
        <v>Low Volume - Setup Needed</v>
      </c>
      <c r="L206" s="10" t="str">
        <f t="shared" si="3"/>
        <v>Low/no B2B traffic yet - set a Business Price (5-10% below retail) and Quantity Discount tiers (e.g. 5+ units 5% off, 10+ units 10% off) to attract first B2B interest; add bulk/case-pack info to title and bullets</v>
      </c>
    </row>
    <row r="207" ht="14.25" customHeight="1">
      <c r="A207" s="10" t="s">
        <v>242</v>
      </c>
      <c r="B207" s="10">
        <v>1.0</v>
      </c>
      <c r="C207" s="10">
        <v>1.0</v>
      </c>
      <c r="D207" s="10">
        <v>0.0</v>
      </c>
      <c r="E207" s="10">
        <v>0.0</v>
      </c>
      <c r="F207" s="10">
        <v>0.0</v>
      </c>
      <c r="G207" s="10">
        <v>0.0</v>
      </c>
      <c r="H207" s="14">
        <v>0.0</v>
      </c>
      <c r="I207" s="7">
        <f t="shared" si="1"/>
        <v>-1</v>
      </c>
      <c r="J207" s="10" t="str">
        <f>IF(MAX(B207,E207)&gt;=Thresholds!$C$7,"Tier 3 - High",IF(MAX(B207,E207)&gt;=Thresholds!$C$6,"Tier 2 - Moderate","Tier 1 - Low"))</f>
        <v>Tier 1 - Low</v>
      </c>
      <c r="K207" s="7" t="str">
        <f t="shared" si="2"/>
        <v>Low Volume - Setup Needed</v>
      </c>
      <c r="L207" s="10" t="str">
        <f t="shared" si="3"/>
        <v>Low/no B2B traffic yet - set a Business Price (5-10% below retail) and Quantity Discount tiers (e.g. 5+ units 5% off, 10+ units 10% off) to attract first B2B interest; add bulk/case-pack info to title and bullets</v>
      </c>
    </row>
    <row r="208" ht="14.25" customHeight="1">
      <c r="A208" s="10" t="s">
        <v>243</v>
      </c>
      <c r="B208" s="10">
        <v>1.0</v>
      </c>
      <c r="C208" s="10">
        <v>1.0</v>
      </c>
      <c r="D208" s="10">
        <v>0.0</v>
      </c>
      <c r="E208" s="10">
        <v>0.0</v>
      </c>
      <c r="F208" s="10">
        <v>0.0</v>
      </c>
      <c r="G208" s="10">
        <v>0.0</v>
      </c>
      <c r="H208" s="14">
        <v>1.0</v>
      </c>
      <c r="I208" s="7">
        <f t="shared" si="1"/>
        <v>-1</v>
      </c>
      <c r="J208" s="10" t="str">
        <f>IF(MAX(B208,E208)&gt;=Thresholds!$C$7,"Tier 3 - High",IF(MAX(B208,E208)&gt;=Thresholds!$C$6,"Tier 2 - Moderate","Tier 1 - Low"))</f>
        <v>Tier 1 - Low</v>
      </c>
      <c r="K208" s="7" t="str">
        <f t="shared" si="2"/>
        <v>Low Volume - Setup Needed</v>
      </c>
      <c r="L208" s="10" t="str">
        <f t="shared" si="3"/>
        <v>Low/no B2B traffic yet - set a Business Price (5-10% below retail) and Quantity Discount tiers (e.g. 5+ units 5% off, 10+ units 10% off) to attract first B2B interest; add bulk/case-pack info to title and bullets</v>
      </c>
    </row>
    <row r="209" ht="14.25" customHeight="1">
      <c r="A209" s="10" t="s">
        <v>244</v>
      </c>
      <c r="B209" s="10">
        <v>1.0</v>
      </c>
      <c r="C209" s="10">
        <v>1.0</v>
      </c>
      <c r="D209" s="10">
        <v>0.0</v>
      </c>
      <c r="E209" s="10">
        <v>0.0</v>
      </c>
      <c r="F209" s="10">
        <v>0.0</v>
      </c>
      <c r="G209" s="10">
        <v>0.0</v>
      </c>
      <c r="H209" s="14">
        <v>0.9444</v>
      </c>
      <c r="I209" s="7">
        <f t="shared" si="1"/>
        <v>-1</v>
      </c>
      <c r="J209" s="10" t="str">
        <f>IF(MAX(B209,E209)&gt;=Thresholds!$C$7,"Tier 3 - High",IF(MAX(B209,E209)&gt;=Thresholds!$C$6,"Tier 2 - Moderate","Tier 1 - Low"))</f>
        <v>Tier 1 - Low</v>
      </c>
      <c r="K209" s="7" t="str">
        <f t="shared" si="2"/>
        <v>Low Volume - Setup Needed</v>
      </c>
      <c r="L209" s="10" t="str">
        <f t="shared" si="3"/>
        <v>Low/no B2B traffic yet - set a Business Price (5-10% below retail) and Quantity Discount tiers (e.g. 5+ units 5% off, 10+ units 10% off) to attract first B2B interest; add bulk/case-pack info to title and bullets</v>
      </c>
    </row>
    <row r="210" ht="14.25" customHeight="1">
      <c r="A210" s="10" t="s">
        <v>245</v>
      </c>
      <c r="B210" s="10">
        <v>1.0</v>
      </c>
      <c r="C210" s="10">
        <v>1.0</v>
      </c>
      <c r="D210" s="10">
        <v>0.0</v>
      </c>
      <c r="E210" s="10">
        <v>0.0</v>
      </c>
      <c r="F210" s="10">
        <v>0.0</v>
      </c>
      <c r="G210" s="10">
        <v>0.0</v>
      </c>
      <c r="H210" s="14">
        <v>1.0</v>
      </c>
      <c r="I210" s="7">
        <f t="shared" si="1"/>
        <v>-1</v>
      </c>
      <c r="J210" s="10" t="str">
        <f>IF(MAX(B210,E210)&gt;=Thresholds!$C$7,"Tier 3 - High",IF(MAX(B210,E210)&gt;=Thresholds!$C$6,"Tier 2 - Moderate","Tier 1 - Low"))</f>
        <v>Tier 1 - Low</v>
      </c>
      <c r="K210" s="7" t="str">
        <f t="shared" si="2"/>
        <v>Low Volume - Setup Needed</v>
      </c>
      <c r="L210" s="10" t="str">
        <f t="shared" si="3"/>
        <v>Low/no B2B traffic yet - set a Business Price (5-10% below retail) and Quantity Discount tiers (e.g. 5+ units 5% off, 10+ units 10% off) to attract first B2B interest; add bulk/case-pack info to title and bullets</v>
      </c>
    </row>
    <row r="211" ht="14.25" customHeight="1">
      <c r="A211" s="10" t="s">
        <v>246</v>
      </c>
      <c r="B211" s="10">
        <v>1.0</v>
      </c>
      <c r="C211" s="10">
        <v>1.0</v>
      </c>
      <c r="D211" s="10">
        <v>0.0</v>
      </c>
      <c r="E211" s="10">
        <v>0.0</v>
      </c>
      <c r="F211" s="10">
        <v>0.0</v>
      </c>
      <c r="G211" s="10">
        <v>0.0</v>
      </c>
      <c r="H211" s="14">
        <v>1.0</v>
      </c>
      <c r="I211" s="7">
        <f t="shared" si="1"/>
        <v>-1</v>
      </c>
      <c r="J211" s="10" t="str">
        <f>IF(MAX(B211,E211)&gt;=Thresholds!$C$7,"Tier 3 - High",IF(MAX(B211,E211)&gt;=Thresholds!$C$6,"Tier 2 - Moderate","Tier 1 - Low"))</f>
        <v>Tier 1 - Low</v>
      </c>
      <c r="K211" s="7" t="str">
        <f t="shared" si="2"/>
        <v>Low Volume - Setup Needed</v>
      </c>
      <c r="L211" s="10" t="str">
        <f t="shared" si="3"/>
        <v>Low/no B2B traffic yet - set a Business Price (5-10% below retail) and Quantity Discount tiers (e.g. 5+ units 5% off, 10+ units 10% off) to attract first B2B interest; add bulk/case-pack info to title and bullets</v>
      </c>
    </row>
    <row r="212" ht="14.25" customHeight="1">
      <c r="A212" s="10" t="s">
        <v>247</v>
      </c>
      <c r="B212" s="10">
        <v>1.0</v>
      </c>
      <c r="C212" s="10">
        <v>1.0</v>
      </c>
      <c r="D212" s="10">
        <v>0.0</v>
      </c>
      <c r="E212" s="10">
        <v>0.0</v>
      </c>
      <c r="F212" s="10">
        <v>0.0</v>
      </c>
      <c r="G212" s="10">
        <v>0.0</v>
      </c>
      <c r="H212" s="14">
        <v>0.0</v>
      </c>
      <c r="I212" s="7">
        <f t="shared" si="1"/>
        <v>-1</v>
      </c>
      <c r="J212" s="10" t="str">
        <f>IF(MAX(B212,E212)&gt;=Thresholds!$C$7,"Tier 3 - High",IF(MAX(B212,E212)&gt;=Thresholds!$C$6,"Tier 2 - Moderate","Tier 1 - Low"))</f>
        <v>Tier 1 - Low</v>
      </c>
      <c r="K212" s="7" t="str">
        <f t="shared" si="2"/>
        <v>Low Volume - Setup Needed</v>
      </c>
      <c r="L212" s="10" t="str">
        <f t="shared" si="3"/>
        <v>Low/no B2B traffic yet - set a Business Price (5-10% below retail) and Quantity Discount tiers (e.g. 5+ units 5% off, 10+ units 10% off) to attract first B2B interest; add bulk/case-pack info to title and bullets</v>
      </c>
    </row>
    <row r="213" ht="14.25" customHeight="1">
      <c r="A213" s="10" t="s">
        <v>248</v>
      </c>
      <c r="B213" s="10">
        <v>1.0</v>
      </c>
      <c r="C213" s="10">
        <v>2.0</v>
      </c>
      <c r="D213" s="10">
        <v>0.0</v>
      </c>
      <c r="E213" s="10">
        <v>0.0</v>
      </c>
      <c r="F213" s="10">
        <v>0.0</v>
      </c>
      <c r="G213" s="10">
        <v>0.0</v>
      </c>
      <c r="H213" s="14">
        <v>0.8333</v>
      </c>
      <c r="I213" s="7">
        <f t="shared" si="1"/>
        <v>-1</v>
      </c>
      <c r="J213" s="10" t="str">
        <f>IF(MAX(B213,E213)&gt;=Thresholds!$C$7,"Tier 3 - High",IF(MAX(B213,E213)&gt;=Thresholds!$C$6,"Tier 2 - Moderate","Tier 1 - Low"))</f>
        <v>Tier 1 - Low</v>
      </c>
      <c r="K213" s="7" t="str">
        <f t="shared" si="2"/>
        <v>Low Volume - Setup Needed</v>
      </c>
      <c r="L213" s="10" t="str">
        <f t="shared" si="3"/>
        <v>Low/no B2B traffic yet - set a Business Price (5-10% below retail) and Quantity Discount tiers (e.g. 5+ units 5% off, 10+ units 10% off) to attract first B2B interest; add bulk/case-pack info to title and bullets</v>
      </c>
    </row>
    <row r="214" ht="14.25" customHeight="1">
      <c r="A214" s="10" t="s">
        <v>249</v>
      </c>
      <c r="B214" s="10">
        <v>2.0</v>
      </c>
      <c r="C214" s="10">
        <v>2.0</v>
      </c>
      <c r="D214" s="10">
        <v>0.0</v>
      </c>
      <c r="E214" s="10">
        <v>1.0</v>
      </c>
      <c r="F214" s="10">
        <v>1.0</v>
      </c>
      <c r="G214" s="10">
        <v>0.0</v>
      </c>
      <c r="H214" s="14">
        <v>1.0</v>
      </c>
      <c r="I214" s="7">
        <f t="shared" si="1"/>
        <v>-1</v>
      </c>
      <c r="J214" s="10" t="str">
        <f>IF(MAX(B214,E214)&gt;=Thresholds!$C$7,"Tier 3 - High",IF(MAX(B214,E214)&gt;=Thresholds!$C$6,"Tier 2 - Moderate","Tier 1 - Low"))</f>
        <v>Tier 1 - Low</v>
      </c>
      <c r="K214" s="7" t="str">
        <f t="shared" si="2"/>
        <v>Low Volume - Setup Needed</v>
      </c>
      <c r="L214" s="10" t="str">
        <f t="shared" si="3"/>
        <v>Low/no B2B traffic yet - set a Business Price (5-10% below retail) and Quantity Discount tiers (e.g. 5+ units 5% off, 10+ units 10% off) to attract first B2B interest; add bulk/case-pack info to title and bullets</v>
      </c>
    </row>
    <row r="215" ht="14.25" customHeight="1">
      <c r="A215" s="10" t="s">
        <v>250</v>
      </c>
      <c r="B215" s="10">
        <v>1.0</v>
      </c>
      <c r="C215" s="10">
        <v>1.0</v>
      </c>
      <c r="D215" s="10">
        <v>0.0</v>
      </c>
      <c r="E215" s="10">
        <v>0.0</v>
      </c>
      <c r="F215" s="10">
        <v>0.0</v>
      </c>
      <c r="G215" s="10">
        <v>0.0</v>
      </c>
      <c r="H215" s="14">
        <v>0.6667</v>
      </c>
      <c r="I215" s="7">
        <f t="shared" si="1"/>
        <v>-1</v>
      </c>
      <c r="J215" s="10" t="str">
        <f>IF(MAX(B215,E215)&gt;=Thresholds!$C$7,"Tier 3 - High",IF(MAX(B215,E215)&gt;=Thresholds!$C$6,"Tier 2 - Moderate","Tier 1 - Low"))</f>
        <v>Tier 1 - Low</v>
      </c>
      <c r="K215" s="7" t="str">
        <f t="shared" si="2"/>
        <v>Low Volume - Setup Needed</v>
      </c>
      <c r="L215" s="10" t="str">
        <f t="shared" si="3"/>
        <v>Low/no B2B traffic yet - set a Business Price (5-10% below retail) and Quantity Discount tiers (e.g. 5+ units 5% off, 10+ units 10% off) to attract first B2B interest; add bulk/case-pack info to title and bullets</v>
      </c>
    </row>
    <row r="216" ht="14.25" customHeight="1">
      <c r="A216" s="10" t="s">
        <v>251</v>
      </c>
      <c r="B216" s="10">
        <v>1.0</v>
      </c>
      <c r="C216" s="10">
        <v>1.0</v>
      </c>
      <c r="D216" s="10">
        <v>0.0</v>
      </c>
      <c r="E216" s="10">
        <v>0.0</v>
      </c>
      <c r="F216" s="10">
        <v>0.0</v>
      </c>
      <c r="G216" s="10">
        <v>2.0</v>
      </c>
      <c r="H216" s="14">
        <v>0.1111</v>
      </c>
      <c r="I216" s="7">
        <f t="shared" si="1"/>
        <v>-1</v>
      </c>
      <c r="J216" s="10" t="str">
        <f>IF(MAX(B216,E216)&gt;=Thresholds!$C$7,"Tier 3 - High",IF(MAX(B216,E216)&gt;=Thresholds!$C$6,"Tier 2 - Moderate","Tier 1 - Low"))</f>
        <v>Tier 1 - Low</v>
      </c>
      <c r="K216" s="7" t="str">
        <f t="shared" si="2"/>
        <v>Low Volume - Setup Needed</v>
      </c>
      <c r="L216" s="10" t="str">
        <f t="shared" si="3"/>
        <v>Low/no B2B traffic yet - set a Business Price (5-10% below retail) and Quantity Discount tiers (e.g. 5+ units 5% off, 10+ units 10% off) to attract first B2B interest; add bulk/case-pack info to title and bullets</v>
      </c>
    </row>
    <row r="217" ht="14.25" customHeight="1">
      <c r="A217" s="10" t="s">
        <v>252</v>
      </c>
      <c r="B217" s="10">
        <v>1.0</v>
      </c>
      <c r="C217" s="10">
        <v>1.0</v>
      </c>
      <c r="D217" s="10">
        <v>0.0</v>
      </c>
      <c r="E217" s="10">
        <v>0.0</v>
      </c>
      <c r="F217" s="10">
        <v>0.0</v>
      </c>
      <c r="G217" s="10">
        <v>0.0</v>
      </c>
      <c r="H217" s="14">
        <v>0.0</v>
      </c>
      <c r="I217" s="7">
        <f t="shared" si="1"/>
        <v>-1</v>
      </c>
      <c r="J217" s="10" t="str">
        <f>IF(MAX(B217,E217)&gt;=Thresholds!$C$7,"Tier 3 - High",IF(MAX(B217,E217)&gt;=Thresholds!$C$6,"Tier 2 - Moderate","Tier 1 - Low"))</f>
        <v>Tier 1 - Low</v>
      </c>
      <c r="K217" s="7" t="str">
        <f t="shared" si="2"/>
        <v>Low Volume - Setup Needed</v>
      </c>
      <c r="L217" s="10" t="str">
        <f t="shared" si="3"/>
        <v>Low/no B2B traffic yet - set a Business Price (5-10% below retail) and Quantity Discount tiers (e.g. 5+ units 5% off, 10+ units 10% off) to attract first B2B interest; add bulk/case-pack info to title and bullets</v>
      </c>
    </row>
    <row r="218" ht="14.25" customHeight="1">
      <c r="A218" s="10" t="s">
        <v>253</v>
      </c>
      <c r="B218" s="10">
        <v>1.0</v>
      </c>
      <c r="C218" s="10">
        <v>1.0</v>
      </c>
      <c r="D218" s="10">
        <v>0.0</v>
      </c>
      <c r="E218" s="10">
        <v>0.0</v>
      </c>
      <c r="F218" s="10">
        <v>0.0</v>
      </c>
      <c r="G218" s="10">
        <v>0.0</v>
      </c>
      <c r="H218" s="14">
        <v>0.8636</v>
      </c>
      <c r="I218" s="7">
        <f t="shared" si="1"/>
        <v>-1</v>
      </c>
      <c r="J218" s="10" t="str">
        <f>IF(MAX(B218,E218)&gt;=Thresholds!$C$7,"Tier 3 - High",IF(MAX(B218,E218)&gt;=Thresholds!$C$6,"Tier 2 - Moderate","Tier 1 - Low"))</f>
        <v>Tier 1 - Low</v>
      </c>
      <c r="K218" s="7" t="str">
        <f t="shared" si="2"/>
        <v>Low Volume - Setup Needed</v>
      </c>
      <c r="L218" s="10" t="str">
        <f t="shared" si="3"/>
        <v>Low/no B2B traffic yet - set a Business Price (5-10% below retail) and Quantity Discount tiers (e.g. 5+ units 5% off, 10+ units 10% off) to attract first B2B interest; add bulk/case-pack info to title and bullets</v>
      </c>
    </row>
    <row r="219" ht="14.25" customHeight="1">
      <c r="A219" s="10" t="s">
        <v>254</v>
      </c>
      <c r="B219" s="10">
        <v>1.0</v>
      </c>
      <c r="C219" s="10">
        <v>5.0</v>
      </c>
      <c r="D219" s="10">
        <v>2.0</v>
      </c>
      <c r="E219" s="10">
        <v>0.0</v>
      </c>
      <c r="F219" s="10">
        <v>0.0</v>
      </c>
      <c r="G219" s="10">
        <v>0.0</v>
      </c>
      <c r="H219" s="14">
        <v>0.4762</v>
      </c>
      <c r="I219" s="7">
        <f t="shared" si="1"/>
        <v>-1</v>
      </c>
      <c r="J219" s="10" t="str">
        <f>IF(MAX(B219,E219)&gt;=Thresholds!$C$7,"Tier 3 - High",IF(MAX(B219,E219)&gt;=Thresholds!$C$6,"Tier 2 - Moderate","Tier 1 - Low"))</f>
        <v>Tier 1 - Low</v>
      </c>
      <c r="K219" s="7" t="str">
        <f t="shared" si="2"/>
        <v>Low Volume - Setup Needed</v>
      </c>
      <c r="L219" s="10" t="str">
        <f t="shared" si="3"/>
        <v>Low/no B2B traffic yet - set a Business Price (5-10% below retail) and Quantity Discount tiers (e.g. 5+ units 5% off, 10+ units 10% off) to attract first B2B interest; add bulk/case-pack info to title and bullets</v>
      </c>
    </row>
    <row r="220" ht="14.25" customHeight="1">
      <c r="A220" s="10" t="s">
        <v>255</v>
      </c>
      <c r="B220" s="10">
        <v>1.0</v>
      </c>
      <c r="C220" s="10">
        <v>1.0</v>
      </c>
      <c r="D220" s="10">
        <v>0.0</v>
      </c>
      <c r="E220" s="10">
        <v>0.0</v>
      </c>
      <c r="F220" s="10">
        <v>0.0</v>
      </c>
      <c r="G220" s="10">
        <v>0.0</v>
      </c>
      <c r="H220" s="14">
        <v>0.0</v>
      </c>
      <c r="I220" s="7">
        <f t="shared" si="1"/>
        <v>-1</v>
      </c>
      <c r="J220" s="10" t="str">
        <f>IF(MAX(B220,E220)&gt;=Thresholds!$C$7,"Tier 3 - High",IF(MAX(B220,E220)&gt;=Thresholds!$C$6,"Tier 2 - Moderate","Tier 1 - Low"))</f>
        <v>Tier 1 - Low</v>
      </c>
      <c r="K220" s="7" t="str">
        <f t="shared" si="2"/>
        <v>Low Volume - Setup Needed</v>
      </c>
      <c r="L220" s="10" t="str">
        <f t="shared" si="3"/>
        <v>Low/no B2B traffic yet - set a Business Price (5-10% below retail) and Quantity Discount tiers (e.g. 5+ units 5% off, 10+ units 10% off) to attract first B2B interest; add bulk/case-pack info to title and bullets</v>
      </c>
    </row>
    <row r="221" ht="14.25" customHeight="1">
      <c r="A221" s="10" t="s">
        <v>256</v>
      </c>
      <c r="B221" s="10">
        <v>1.0</v>
      </c>
      <c r="C221" s="10">
        <v>1.0</v>
      </c>
      <c r="D221" s="10">
        <v>0.0</v>
      </c>
      <c r="E221" s="10">
        <v>0.0</v>
      </c>
      <c r="F221" s="10">
        <v>0.0</v>
      </c>
      <c r="G221" s="10">
        <v>0.0</v>
      </c>
      <c r="H221" s="14">
        <v>1.0</v>
      </c>
      <c r="I221" s="7">
        <f t="shared" si="1"/>
        <v>-1</v>
      </c>
      <c r="J221" s="10" t="str">
        <f>IF(MAX(B221,E221)&gt;=Thresholds!$C$7,"Tier 3 - High",IF(MAX(B221,E221)&gt;=Thresholds!$C$6,"Tier 2 - Moderate","Tier 1 - Low"))</f>
        <v>Tier 1 - Low</v>
      </c>
      <c r="K221" s="7" t="str">
        <f t="shared" si="2"/>
        <v>Low Volume - Setup Needed</v>
      </c>
      <c r="L221" s="10" t="str">
        <f t="shared" si="3"/>
        <v>Low/no B2B traffic yet - set a Business Price (5-10% below retail) and Quantity Discount tiers (e.g. 5+ units 5% off, 10+ units 10% off) to attract first B2B interest; add bulk/case-pack info to title and bullets</v>
      </c>
    </row>
    <row r="222" ht="14.25" customHeight="1">
      <c r="A222" s="10" t="s">
        <v>257</v>
      </c>
      <c r="B222" s="10">
        <v>1.0</v>
      </c>
      <c r="C222" s="10">
        <v>1.0</v>
      </c>
      <c r="D222" s="10">
        <v>0.0</v>
      </c>
      <c r="E222" s="10">
        <v>0.0</v>
      </c>
      <c r="F222" s="10">
        <v>0.0</v>
      </c>
      <c r="G222" s="10">
        <v>0.0</v>
      </c>
      <c r="H222" s="14">
        <v>1.0</v>
      </c>
      <c r="I222" s="7">
        <f t="shared" si="1"/>
        <v>-1</v>
      </c>
      <c r="J222" s="10" t="str">
        <f>IF(MAX(B222,E222)&gt;=Thresholds!$C$7,"Tier 3 - High",IF(MAX(B222,E222)&gt;=Thresholds!$C$6,"Tier 2 - Moderate","Tier 1 - Low"))</f>
        <v>Tier 1 - Low</v>
      </c>
      <c r="K222" s="7" t="str">
        <f t="shared" si="2"/>
        <v>Low Volume - Setup Needed</v>
      </c>
      <c r="L222" s="10" t="str">
        <f t="shared" si="3"/>
        <v>Low/no B2B traffic yet - set a Business Price (5-10% below retail) and Quantity Discount tiers (e.g. 5+ units 5% off, 10+ units 10% off) to attract first B2B interest; add bulk/case-pack info to title and bullets</v>
      </c>
    </row>
    <row r="223" ht="14.25" customHeight="1">
      <c r="A223" s="10" t="s">
        <v>258</v>
      </c>
      <c r="B223" s="10">
        <v>1.0</v>
      </c>
      <c r="C223" s="10">
        <v>1.0</v>
      </c>
      <c r="D223" s="10">
        <v>0.0</v>
      </c>
      <c r="E223" s="10">
        <v>0.0</v>
      </c>
      <c r="F223" s="10">
        <v>0.0</v>
      </c>
      <c r="G223" s="10">
        <v>0.0</v>
      </c>
      <c r="H223" s="14">
        <v>0.0</v>
      </c>
      <c r="I223" s="7">
        <f t="shared" si="1"/>
        <v>-1</v>
      </c>
      <c r="J223" s="10" t="str">
        <f>IF(MAX(B223,E223)&gt;=Thresholds!$C$7,"Tier 3 - High",IF(MAX(B223,E223)&gt;=Thresholds!$C$6,"Tier 2 - Moderate","Tier 1 - Low"))</f>
        <v>Tier 1 - Low</v>
      </c>
      <c r="K223" s="7" t="str">
        <f t="shared" si="2"/>
        <v>Low Volume - Setup Needed</v>
      </c>
      <c r="L223" s="10" t="str">
        <f t="shared" si="3"/>
        <v>Low/no B2B traffic yet - set a Business Price (5-10% below retail) and Quantity Discount tiers (e.g. 5+ units 5% off, 10+ units 10% off) to attract first B2B interest; add bulk/case-pack info to title and bullets</v>
      </c>
    </row>
    <row r="224" ht="14.25" customHeight="1">
      <c r="A224" s="10" t="s">
        <v>259</v>
      </c>
      <c r="B224" s="10">
        <v>1.0</v>
      </c>
      <c r="C224" s="10">
        <v>1.0</v>
      </c>
      <c r="D224" s="10">
        <v>0.0</v>
      </c>
      <c r="E224" s="10">
        <v>0.0</v>
      </c>
      <c r="F224" s="10">
        <v>0.0</v>
      </c>
      <c r="G224" s="10">
        <v>0.0</v>
      </c>
      <c r="H224" s="14">
        <v>1.0</v>
      </c>
      <c r="I224" s="7">
        <f t="shared" si="1"/>
        <v>-1</v>
      </c>
      <c r="J224" s="10" t="str">
        <f>IF(MAX(B224,E224)&gt;=Thresholds!$C$7,"Tier 3 - High",IF(MAX(B224,E224)&gt;=Thresholds!$C$6,"Tier 2 - Moderate","Tier 1 - Low"))</f>
        <v>Tier 1 - Low</v>
      </c>
      <c r="K224" s="7" t="str">
        <f t="shared" si="2"/>
        <v>Low Volume - Setup Needed</v>
      </c>
      <c r="L224" s="10" t="str">
        <f t="shared" si="3"/>
        <v>Low/no B2B traffic yet - set a Business Price (5-10% below retail) and Quantity Discount tiers (e.g. 5+ units 5% off, 10+ units 10% off) to attract first B2B interest; add bulk/case-pack info to title and bullets</v>
      </c>
    </row>
    <row r="225" ht="14.25" customHeight="1">
      <c r="A225" s="10" t="s">
        <v>260</v>
      </c>
      <c r="B225" s="10">
        <v>1.0</v>
      </c>
      <c r="C225" s="10">
        <v>1.0</v>
      </c>
      <c r="D225" s="10">
        <v>0.0</v>
      </c>
      <c r="E225" s="10">
        <v>0.0</v>
      </c>
      <c r="F225" s="10">
        <v>0.0</v>
      </c>
      <c r="G225" s="10">
        <v>0.0</v>
      </c>
      <c r="H225" s="14">
        <v>0.0</v>
      </c>
      <c r="I225" s="7">
        <f t="shared" si="1"/>
        <v>-1</v>
      </c>
      <c r="J225" s="10" t="str">
        <f>IF(MAX(B225,E225)&gt;=Thresholds!$C$7,"Tier 3 - High",IF(MAX(B225,E225)&gt;=Thresholds!$C$6,"Tier 2 - Moderate","Tier 1 - Low"))</f>
        <v>Tier 1 - Low</v>
      </c>
      <c r="K225" s="7" t="str">
        <f t="shared" si="2"/>
        <v>Low Volume - Setup Needed</v>
      </c>
      <c r="L225" s="10" t="str">
        <f t="shared" si="3"/>
        <v>Low/no B2B traffic yet - set a Business Price (5-10% below retail) and Quantity Discount tiers (e.g. 5+ units 5% off, 10+ units 10% off) to attract first B2B interest; add bulk/case-pack info to title and bullets</v>
      </c>
    </row>
    <row r="226" ht="14.25" customHeight="1">
      <c r="A226" s="10" t="s">
        <v>261</v>
      </c>
      <c r="B226" s="10">
        <v>1.0</v>
      </c>
      <c r="C226" s="10">
        <v>1.0</v>
      </c>
      <c r="D226" s="10">
        <v>0.0</v>
      </c>
      <c r="E226" s="10">
        <v>0.0</v>
      </c>
      <c r="F226" s="10">
        <v>0.0</v>
      </c>
      <c r="G226" s="10">
        <v>0.0</v>
      </c>
      <c r="H226" s="14">
        <v>0.9583</v>
      </c>
      <c r="I226" s="7">
        <f t="shared" si="1"/>
        <v>-1</v>
      </c>
      <c r="J226" s="10" t="str">
        <f>IF(MAX(B226,E226)&gt;=Thresholds!$C$7,"Tier 3 - High",IF(MAX(B226,E226)&gt;=Thresholds!$C$6,"Tier 2 - Moderate","Tier 1 - Low"))</f>
        <v>Tier 1 - Low</v>
      </c>
      <c r="K226" s="7" t="str">
        <f t="shared" si="2"/>
        <v>Low Volume - Setup Needed</v>
      </c>
      <c r="L226" s="10" t="str">
        <f t="shared" si="3"/>
        <v>Low/no B2B traffic yet - set a Business Price (5-10% below retail) and Quantity Discount tiers (e.g. 5+ units 5% off, 10+ units 10% off) to attract first B2B interest; add bulk/case-pack info to title and bullets</v>
      </c>
    </row>
    <row r="227" ht="14.25" customHeight="1">
      <c r="A227" s="10" t="s">
        <v>262</v>
      </c>
      <c r="B227" s="10">
        <v>1.0</v>
      </c>
      <c r="C227" s="10">
        <v>1.0</v>
      </c>
      <c r="D227" s="10">
        <v>0.0</v>
      </c>
      <c r="E227" s="10">
        <v>0.0</v>
      </c>
      <c r="F227" s="10">
        <v>0.0</v>
      </c>
      <c r="G227" s="10">
        <v>0.0</v>
      </c>
      <c r="H227" s="14">
        <v>1.0</v>
      </c>
      <c r="I227" s="7">
        <f t="shared" si="1"/>
        <v>-1</v>
      </c>
      <c r="J227" s="10" t="str">
        <f>IF(MAX(B227,E227)&gt;=Thresholds!$C$7,"Tier 3 - High",IF(MAX(B227,E227)&gt;=Thresholds!$C$6,"Tier 2 - Moderate","Tier 1 - Low"))</f>
        <v>Tier 1 - Low</v>
      </c>
      <c r="K227" s="7" t="str">
        <f t="shared" si="2"/>
        <v>Low Volume - Setup Needed</v>
      </c>
      <c r="L227" s="10" t="str">
        <f t="shared" si="3"/>
        <v>Low/no B2B traffic yet - set a Business Price (5-10% below retail) and Quantity Discount tiers (e.g. 5+ units 5% off, 10+ units 10% off) to attract first B2B interest; add bulk/case-pack info to title and bullets</v>
      </c>
    </row>
    <row r="228" ht="14.25" customHeight="1">
      <c r="A228" s="10" t="s">
        <v>263</v>
      </c>
      <c r="B228" s="10">
        <v>1.0</v>
      </c>
      <c r="C228" s="10">
        <v>1.0</v>
      </c>
      <c r="D228" s="10">
        <v>0.0</v>
      </c>
      <c r="E228" s="10">
        <v>0.0</v>
      </c>
      <c r="F228" s="10">
        <v>0.0</v>
      </c>
      <c r="G228" s="10">
        <v>0.0</v>
      </c>
      <c r="H228" s="14">
        <v>1.0</v>
      </c>
      <c r="I228" s="7">
        <f t="shared" si="1"/>
        <v>-1</v>
      </c>
      <c r="J228" s="10" t="str">
        <f>IF(MAX(B228,E228)&gt;=Thresholds!$C$7,"Tier 3 - High",IF(MAX(B228,E228)&gt;=Thresholds!$C$6,"Tier 2 - Moderate","Tier 1 - Low"))</f>
        <v>Tier 1 - Low</v>
      </c>
      <c r="K228" s="7" t="str">
        <f t="shared" si="2"/>
        <v>Low Volume - Setup Needed</v>
      </c>
      <c r="L228" s="10" t="str">
        <f t="shared" si="3"/>
        <v>Low/no B2B traffic yet - set a Business Price (5-10% below retail) and Quantity Discount tiers (e.g. 5+ units 5% off, 10+ units 10% off) to attract first B2B interest; add bulk/case-pack info to title and bullets</v>
      </c>
    </row>
    <row r="229" ht="14.25" customHeight="1">
      <c r="A229" s="10" t="s">
        <v>264</v>
      </c>
      <c r="B229" s="10">
        <v>1.0</v>
      </c>
      <c r="C229" s="10">
        <v>1.0</v>
      </c>
      <c r="D229" s="10">
        <v>0.0</v>
      </c>
      <c r="E229" s="10">
        <v>0.0</v>
      </c>
      <c r="F229" s="10">
        <v>0.0</v>
      </c>
      <c r="G229" s="10">
        <v>0.0</v>
      </c>
      <c r="H229" s="14">
        <v>1.0</v>
      </c>
      <c r="I229" s="7">
        <f t="shared" si="1"/>
        <v>-1</v>
      </c>
      <c r="J229" s="10" t="str">
        <f>IF(MAX(B229,E229)&gt;=Thresholds!$C$7,"Tier 3 - High",IF(MAX(B229,E229)&gt;=Thresholds!$C$6,"Tier 2 - Moderate","Tier 1 - Low"))</f>
        <v>Tier 1 - Low</v>
      </c>
      <c r="K229" s="7" t="str">
        <f t="shared" si="2"/>
        <v>Low Volume - Setup Needed</v>
      </c>
      <c r="L229" s="10" t="str">
        <f t="shared" si="3"/>
        <v>Low/no B2B traffic yet - set a Business Price (5-10% below retail) and Quantity Discount tiers (e.g. 5+ units 5% off, 10+ units 10% off) to attract first B2B interest; add bulk/case-pack info to title and bullets</v>
      </c>
    </row>
    <row r="230" ht="14.25" customHeight="1">
      <c r="A230" s="10" t="s">
        <v>265</v>
      </c>
      <c r="B230" s="10">
        <v>1.0</v>
      </c>
      <c r="C230" s="10">
        <v>1.0</v>
      </c>
      <c r="D230" s="10">
        <v>0.0</v>
      </c>
      <c r="E230" s="10">
        <v>0.0</v>
      </c>
      <c r="F230" s="10">
        <v>0.0</v>
      </c>
      <c r="G230" s="10">
        <v>0.0</v>
      </c>
      <c r="H230" s="14">
        <v>1.0</v>
      </c>
      <c r="I230" s="7">
        <f t="shared" si="1"/>
        <v>-1</v>
      </c>
      <c r="J230" s="10" t="str">
        <f>IF(MAX(B230,E230)&gt;=Thresholds!$C$7,"Tier 3 - High",IF(MAX(B230,E230)&gt;=Thresholds!$C$6,"Tier 2 - Moderate","Tier 1 - Low"))</f>
        <v>Tier 1 - Low</v>
      </c>
      <c r="K230" s="7" t="str">
        <f t="shared" si="2"/>
        <v>Low Volume - Setup Needed</v>
      </c>
      <c r="L230" s="10" t="str">
        <f t="shared" si="3"/>
        <v>Low/no B2B traffic yet - set a Business Price (5-10% below retail) and Quantity Discount tiers (e.g. 5+ units 5% off, 10+ units 10% off) to attract first B2B interest; add bulk/case-pack info to title and bullets</v>
      </c>
    </row>
    <row r="231" ht="14.25" customHeight="1">
      <c r="A231" s="10" t="s">
        <v>266</v>
      </c>
      <c r="B231" s="10">
        <v>1.0</v>
      </c>
      <c r="C231" s="10">
        <v>3.0</v>
      </c>
      <c r="D231" s="10">
        <v>0.0</v>
      </c>
      <c r="E231" s="10">
        <v>0.0</v>
      </c>
      <c r="F231" s="10">
        <v>0.0</v>
      </c>
      <c r="G231" s="10">
        <v>0.0</v>
      </c>
      <c r="H231" s="14">
        <v>0.8667</v>
      </c>
      <c r="I231" s="7">
        <f t="shared" si="1"/>
        <v>-1</v>
      </c>
      <c r="J231" s="10" t="str">
        <f>IF(MAX(B231,E231)&gt;=Thresholds!$C$7,"Tier 3 - High",IF(MAX(B231,E231)&gt;=Thresholds!$C$6,"Tier 2 - Moderate","Tier 1 - Low"))</f>
        <v>Tier 1 - Low</v>
      </c>
      <c r="K231" s="7" t="str">
        <f t="shared" si="2"/>
        <v>Low Volume - Setup Needed</v>
      </c>
      <c r="L231" s="10" t="str">
        <f t="shared" si="3"/>
        <v>Low/no B2B traffic yet - set a Business Price (5-10% below retail) and Quantity Discount tiers (e.g. 5+ units 5% off, 10+ units 10% off) to attract first B2B interest; add bulk/case-pack info to title and bullets</v>
      </c>
    </row>
    <row r="232" ht="14.25" customHeight="1">
      <c r="A232" s="10" t="s">
        <v>267</v>
      </c>
      <c r="B232" s="10">
        <v>1.0</v>
      </c>
      <c r="C232" s="10">
        <v>2.0</v>
      </c>
      <c r="D232" s="10">
        <v>0.0</v>
      </c>
      <c r="E232" s="10">
        <v>0.0</v>
      </c>
      <c r="F232" s="10">
        <v>0.0</v>
      </c>
      <c r="G232" s="10">
        <v>0.0</v>
      </c>
      <c r="H232" s="14">
        <v>0.9863</v>
      </c>
      <c r="I232" s="7">
        <f t="shared" si="1"/>
        <v>-1</v>
      </c>
      <c r="J232" s="10" t="str">
        <f>IF(MAX(B232,E232)&gt;=Thresholds!$C$7,"Tier 3 - High",IF(MAX(B232,E232)&gt;=Thresholds!$C$6,"Tier 2 - Moderate","Tier 1 - Low"))</f>
        <v>Tier 1 - Low</v>
      </c>
      <c r="K232" s="7" t="str">
        <f t="shared" si="2"/>
        <v>Low Volume - Setup Needed</v>
      </c>
      <c r="L232" s="10" t="str">
        <f t="shared" si="3"/>
        <v>Low/no B2B traffic yet - set a Business Price (5-10% below retail) and Quantity Discount tiers (e.g. 5+ units 5% off, 10+ units 10% off) to attract first B2B interest; add bulk/case-pack info to title and bullets</v>
      </c>
    </row>
    <row r="233" ht="14.25" customHeight="1">
      <c r="A233" s="10" t="s">
        <v>268</v>
      </c>
      <c r="B233" s="10">
        <v>1.0</v>
      </c>
      <c r="C233" s="10">
        <v>1.0</v>
      </c>
      <c r="D233" s="10">
        <v>0.0</v>
      </c>
      <c r="E233" s="10">
        <v>0.0</v>
      </c>
      <c r="F233" s="10">
        <v>0.0</v>
      </c>
      <c r="G233" s="10">
        <v>0.0</v>
      </c>
      <c r="H233" s="14">
        <v>0.963</v>
      </c>
      <c r="I233" s="7">
        <f t="shared" si="1"/>
        <v>-1</v>
      </c>
      <c r="J233" s="10" t="str">
        <f>IF(MAX(B233,E233)&gt;=Thresholds!$C$7,"Tier 3 - High",IF(MAX(B233,E233)&gt;=Thresholds!$C$6,"Tier 2 - Moderate","Tier 1 - Low"))</f>
        <v>Tier 1 - Low</v>
      </c>
      <c r="K233" s="7" t="str">
        <f t="shared" si="2"/>
        <v>Low Volume - Setup Needed</v>
      </c>
      <c r="L233" s="10" t="str">
        <f t="shared" si="3"/>
        <v>Low/no B2B traffic yet - set a Business Price (5-10% below retail) and Quantity Discount tiers (e.g. 5+ units 5% off, 10+ units 10% off) to attract first B2B interest; add bulk/case-pack info to title and bullets</v>
      </c>
    </row>
    <row r="234" ht="14.25" customHeight="1">
      <c r="A234" s="10" t="s">
        <v>269</v>
      </c>
      <c r="B234" s="10">
        <v>1.0</v>
      </c>
      <c r="C234" s="10">
        <v>1.0</v>
      </c>
      <c r="D234" s="10">
        <v>0.0</v>
      </c>
      <c r="E234" s="10">
        <v>0.0</v>
      </c>
      <c r="F234" s="10">
        <v>0.0</v>
      </c>
      <c r="G234" s="10">
        <v>0.0</v>
      </c>
      <c r="H234" s="14">
        <v>0.9839</v>
      </c>
      <c r="I234" s="7">
        <f t="shared" si="1"/>
        <v>-1</v>
      </c>
      <c r="J234" s="10" t="str">
        <f>IF(MAX(B234,E234)&gt;=Thresholds!$C$7,"Tier 3 - High",IF(MAX(B234,E234)&gt;=Thresholds!$C$6,"Tier 2 - Moderate","Tier 1 - Low"))</f>
        <v>Tier 1 - Low</v>
      </c>
      <c r="K234" s="7" t="str">
        <f t="shared" si="2"/>
        <v>Low Volume - Setup Needed</v>
      </c>
      <c r="L234" s="10" t="str">
        <f t="shared" si="3"/>
        <v>Low/no B2B traffic yet - set a Business Price (5-10% below retail) and Quantity Discount tiers (e.g. 5+ units 5% off, 10+ units 10% off) to attract first B2B interest; add bulk/case-pack info to title and bullets</v>
      </c>
    </row>
    <row r="235" ht="14.25" customHeight="1">
      <c r="A235" s="10" t="s">
        <v>270</v>
      </c>
      <c r="B235" s="10">
        <v>1.0</v>
      </c>
      <c r="C235" s="10">
        <v>1.0</v>
      </c>
      <c r="D235" s="10">
        <v>0.0</v>
      </c>
      <c r="E235" s="10">
        <v>0.0</v>
      </c>
      <c r="F235" s="10">
        <v>0.0</v>
      </c>
      <c r="G235" s="10">
        <v>0.0</v>
      </c>
      <c r="H235" s="14">
        <v>1.0</v>
      </c>
      <c r="I235" s="7">
        <f t="shared" si="1"/>
        <v>-1</v>
      </c>
      <c r="J235" s="10" t="str">
        <f>IF(MAX(B235,E235)&gt;=Thresholds!$C$7,"Tier 3 - High",IF(MAX(B235,E235)&gt;=Thresholds!$C$6,"Tier 2 - Moderate","Tier 1 - Low"))</f>
        <v>Tier 1 - Low</v>
      </c>
      <c r="K235" s="7" t="str">
        <f t="shared" si="2"/>
        <v>Low Volume - Setup Needed</v>
      </c>
      <c r="L235" s="10" t="str">
        <f t="shared" si="3"/>
        <v>Low/no B2B traffic yet - set a Business Price (5-10% below retail) and Quantity Discount tiers (e.g. 5+ units 5% off, 10+ units 10% off) to attract first B2B interest; add bulk/case-pack info to title and bullets</v>
      </c>
    </row>
    <row r="236" ht="14.25" customHeight="1">
      <c r="A236" s="10" t="s">
        <v>271</v>
      </c>
      <c r="B236" s="10">
        <v>1.0</v>
      </c>
      <c r="C236" s="10">
        <v>1.0</v>
      </c>
      <c r="D236" s="10">
        <v>2.0</v>
      </c>
      <c r="E236" s="10">
        <v>0.0</v>
      </c>
      <c r="F236" s="10">
        <v>0.0</v>
      </c>
      <c r="G236" s="10">
        <v>0.0</v>
      </c>
      <c r="H236" s="14">
        <v>1.0</v>
      </c>
      <c r="I236" s="7">
        <f t="shared" si="1"/>
        <v>-1</v>
      </c>
      <c r="J236" s="10" t="str">
        <f>IF(MAX(B236,E236)&gt;=Thresholds!$C$7,"Tier 3 - High",IF(MAX(B236,E236)&gt;=Thresholds!$C$6,"Tier 2 - Moderate","Tier 1 - Low"))</f>
        <v>Tier 1 - Low</v>
      </c>
      <c r="K236" s="7" t="str">
        <f t="shared" si="2"/>
        <v>Low Volume - Setup Needed</v>
      </c>
      <c r="L236" s="10" t="str">
        <f t="shared" si="3"/>
        <v>Low/no B2B traffic yet - set a Business Price (5-10% below retail) and Quantity Discount tiers (e.g. 5+ units 5% off, 10+ units 10% off) to attract first B2B interest; add bulk/case-pack info to title and bullets</v>
      </c>
    </row>
    <row r="237" ht="14.25" customHeight="1">
      <c r="A237" s="10" t="s">
        <v>272</v>
      </c>
      <c r="B237" s="10">
        <v>1.0</v>
      </c>
      <c r="C237" s="10">
        <v>2.0</v>
      </c>
      <c r="D237" s="10">
        <v>0.0</v>
      </c>
      <c r="E237" s="10">
        <v>0.0</v>
      </c>
      <c r="F237" s="10">
        <v>0.0</v>
      </c>
      <c r="G237" s="10">
        <v>0.0</v>
      </c>
      <c r="H237" s="14">
        <v>0.75</v>
      </c>
      <c r="I237" s="7">
        <f t="shared" si="1"/>
        <v>-1</v>
      </c>
      <c r="J237" s="10" t="str">
        <f>IF(MAX(B237,E237)&gt;=Thresholds!$C$7,"Tier 3 - High",IF(MAX(B237,E237)&gt;=Thresholds!$C$6,"Tier 2 - Moderate","Tier 1 - Low"))</f>
        <v>Tier 1 - Low</v>
      </c>
      <c r="K237" s="7" t="str">
        <f t="shared" si="2"/>
        <v>Low Volume - Setup Needed</v>
      </c>
      <c r="L237" s="10" t="str">
        <f t="shared" si="3"/>
        <v>Low/no B2B traffic yet - set a Business Price (5-10% below retail) and Quantity Discount tiers (e.g. 5+ units 5% off, 10+ units 10% off) to attract first B2B interest; add bulk/case-pack info to title and bullets</v>
      </c>
    </row>
    <row r="238" ht="14.25" customHeight="1">
      <c r="A238" s="10" t="s">
        <v>273</v>
      </c>
      <c r="B238" s="10">
        <v>1.0</v>
      </c>
      <c r="C238" s="10">
        <v>1.0</v>
      </c>
      <c r="D238" s="10">
        <v>0.0</v>
      </c>
      <c r="E238" s="10">
        <v>0.0</v>
      </c>
      <c r="F238" s="10">
        <v>0.0</v>
      </c>
      <c r="G238" s="10">
        <v>0.0</v>
      </c>
      <c r="H238" s="14">
        <v>1.0</v>
      </c>
      <c r="I238" s="7">
        <f t="shared" si="1"/>
        <v>-1</v>
      </c>
      <c r="J238" s="10" t="str">
        <f>IF(MAX(B238,E238)&gt;=Thresholds!$C$7,"Tier 3 - High",IF(MAX(B238,E238)&gt;=Thresholds!$C$6,"Tier 2 - Moderate","Tier 1 - Low"))</f>
        <v>Tier 1 - Low</v>
      </c>
      <c r="K238" s="7" t="str">
        <f t="shared" si="2"/>
        <v>Low Volume - Setup Needed</v>
      </c>
      <c r="L238" s="10" t="str">
        <f t="shared" si="3"/>
        <v>Low/no B2B traffic yet - set a Business Price (5-10% below retail) and Quantity Discount tiers (e.g. 5+ units 5% off, 10+ units 10% off) to attract first B2B interest; add bulk/case-pack info to title and bullets</v>
      </c>
    </row>
    <row r="239" ht="14.25" customHeight="1">
      <c r="A239" s="10" t="s">
        <v>274</v>
      </c>
      <c r="B239" s="10">
        <v>1.0</v>
      </c>
      <c r="C239" s="10">
        <v>1.0</v>
      </c>
      <c r="D239" s="10">
        <v>0.0</v>
      </c>
      <c r="E239" s="10">
        <v>0.0</v>
      </c>
      <c r="F239" s="10">
        <v>0.0</v>
      </c>
      <c r="G239" s="10">
        <v>0.0</v>
      </c>
      <c r="H239" s="14">
        <v>1.0</v>
      </c>
      <c r="I239" s="7">
        <f t="shared" si="1"/>
        <v>-1</v>
      </c>
      <c r="J239" s="10" t="str">
        <f>IF(MAX(B239,E239)&gt;=Thresholds!$C$7,"Tier 3 - High",IF(MAX(B239,E239)&gt;=Thresholds!$C$6,"Tier 2 - Moderate","Tier 1 - Low"))</f>
        <v>Tier 1 - Low</v>
      </c>
      <c r="K239" s="7" t="str">
        <f t="shared" si="2"/>
        <v>Low Volume - Setup Needed</v>
      </c>
      <c r="L239" s="10" t="str">
        <f t="shared" si="3"/>
        <v>Low/no B2B traffic yet - set a Business Price (5-10% below retail) and Quantity Discount tiers (e.g. 5+ units 5% off, 10+ units 10% off) to attract first B2B interest; add bulk/case-pack info to title and bullets</v>
      </c>
    </row>
    <row r="240" ht="14.25" customHeight="1">
      <c r="A240" s="10" t="s">
        <v>275</v>
      </c>
      <c r="B240" s="10">
        <v>1.0</v>
      </c>
      <c r="C240" s="10">
        <v>2.0</v>
      </c>
      <c r="D240" s="10">
        <v>0.0</v>
      </c>
      <c r="E240" s="10">
        <v>0.0</v>
      </c>
      <c r="F240" s="10">
        <v>0.0</v>
      </c>
      <c r="G240" s="10">
        <v>0.0</v>
      </c>
      <c r="H240" s="14">
        <v>1.0</v>
      </c>
      <c r="I240" s="7">
        <f t="shared" si="1"/>
        <v>-1</v>
      </c>
      <c r="J240" s="10" t="str">
        <f>IF(MAX(B240,E240)&gt;=Thresholds!$C$7,"Tier 3 - High",IF(MAX(B240,E240)&gt;=Thresholds!$C$6,"Tier 2 - Moderate","Tier 1 - Low"))</f>
        <v>Tier 1 - Low</v>
      </c>
      <c r="K240" s="7" t="str">
        <f t="shared" si="2"/>
        <v>Low Volume - Setup Needed</v>
      </c>
      <c r="L240" s="10" t="str">
        <f t="shared" si="3"/>
        <v>Low/no B2B traffic yet - set a Business Price (5-10% below retail) and Quantity Discount tiers (e.g. 5+ units 5% off, 10+ units 10% off) to attract first B2B interest; add bulk/case-pack info to title and bullets</v>
      </c>
    </row>
    <row r="241" ht="14.25" customHeight="1">
      <c r="A241" s="10" t="s">
        <v>276</v>
      </c>
      <c r="B241" s="10">
        <v>3.0</v>
      </c>
      <c r="C241" s="10">
        <v>3.0</v>
      </c>
      <c r="D241" s="10">
        <v>0.0</v>
      </c>
      <c r="E241" s="10">
        <v>2.0</v>
      </c>
      <c r="F241" s="10">
        <v>2.0</v>
      </c>
      <c r="G241" s="10">
        <v>0.0</v>
      </c>
      <c r="H241" s="14">
        <v>0.9714</v>
      </c>
      <c r="I241" s="7">
        <f t="shared" si="1"/>
        <v>-1</v>
      </c>
      <c r="J241" s="10" t="str">
        <f>IF(MAX(B241,E241)&gt;=Thresholds!$C$7,"Tier 3 - High",IF(MAX(B241,E241)&gt;=Thresholds!$C$6,"Tier 2 - Moderate","Tier 1 - Low"))</f>
        <v>Tier 1 - Low</v>
      </c>
      <c r="K241" s="7" t="str">
        <f t="shared" si="2"/>
        <v>Low Volume - Setup Needed</v>
      </c>
      <c r="L241" s="10" t="str">
        <f t="shared" si="3"/>
        <v>Low/no B2B traffic yet - set a Business Price (5-10% below retail) and Quantity Discount tiers (e.g. 5+ units 5% off, 10+ units 10% off) to attract first B2B interest; add bulk/case-pack info to title and bullets</v>
      </c>
    </row>
    <row r="242" ht="14.25" customHeight="1">
      <c r="A242" s="10" t="s">
        <v>277</v>
      </c>
      <c r="B242" s="10">
        <v>1.0</v>
      </c>
      <c r="C242" s="10">
        <v>1.0</v>
      </c>
      <c r="D242" s="10">
        <v>0.0</v>
      </c>
      <c r="E242" s="10">
        <v>0.0</v>
      </c>
      <c r="F242" s="10">
        <v>0.0</v>
      </c>
      <c r="G242" s="10">
        <v>0.0</v>
      </c>
      <c r="H242" s="14">
        <v>0.0</v>
      </c>
      <c r="I242" s="7">
        <f t="shared" si="1"/>
        <v>-1</v>
      </c>
      <c r="J242" s="10" t="str">
        <f>IF(MAX(B242,E242)&gt;=Thresholds!$C$7,"Tier 3 - High",IF(MAX(B242,E242)&gt;=Thresholds!$C$6,"Tier 2 - Moderate","Tier 1 - Low"))</f>
        <v>Tier 1 - Low</v>
      </c>
      <c r="K242" s="7" t="str">
        <f t="shared" si="2"/>
        <v>Low Volume - Setup Needed</v>
      </c>
      <c r="L242" s="10" t="str">
        <f t="shared" si="3"/>
        <v>Low/no B2B traffic yet - set a Business Price (5-10% below retail) and Quantity Discount tiers (e.g. 5+ units 5% off, 10+ units 10% off) to attract first B2B interest; add bulk/case-pack info to title and bullets</v>
      </c>
    </row>
    <row r="243" ht="14.25" customHeight="1">
      <c r="A243" s="10" t="s">
        <v>278</v>
      </c>
      <c r="B243" s="10">
        <v>1.0</v>
      </c>
      <c r="C243" s="10">
        <v>1.0</v>
      </c>
      <c r="D243" s="10">
        <v>0.0</v>
      </c>
      <c r="E243" s="10">
        <v>0.0</v>
      </c>
      <c r="F243" s="10">
        <v>0.0</v>
      </c>
      <c r="G243" s="10">
        <v>0.0</v>
      </c>
      <c r="H243" s="14">
        <v>1.0</v>
      </c>
      <c r="I243" s="7">
        <f t="shared" si="1"/>
        <v>-1</v>
      </c>
      <c r="J243" s="10" t="str">
        <f>IF(MAX(B243,E243)&gt;=Thresholds!$C$7,"Tier 3 - High",IF(MAX(B243,E243)&gt;=Thresholds!$C$6,"Tier 2 - Moderate","Tier 1 - Low"))</f>
        <v>Tier 1 - Low</v>
      </c>
      <c r="K243" s="7" t="str">
        <f t="shared" si="2"/>
        <v>Low Volume - Setup Needed</v>
      </c>
      <c r="L243" s="10" t="str">
        <f t="shared" si="3"/>
        <v>Low/no B2B traffic yet - set a Business Price (5-10% below retail) and Quantity Discount tiers (e.g. 5+ units 5% off, 10+ units 10% off) to attract first B2B interest; add bulk/case-pack info to title and bullets</v>
      </c>
    </row>
    <row r="244" ht="14.25" customHeight="1">
      <c r="A244" s="10" t="s">
        <v>279</v>
      </c>
      <c r="B244" s="10">
        <v>1.0</v>
      </c>
      <c r="C244" s="10">
        <v>1.0</v>
      </c>
      <c r="D244" s="10">
        <v>0.0</v>
      </c>
      <c r="E244" s="10">
        <v>0.0</v>
      </c>
      <c r="F244" s="10">
        <v>0.0</v>
      </c>
      <c r="G244" s="10">
        <v>0.0</v>
      </c>
      <c r="H244" s="14">
        <v>1.0</v>
      </c>
      <c r="I244" s="7">
        <f t="shared" si="1"/>
        <v>-1</v>
      </c>
      <c r="J244" s="10" t="str">
        <f>IF(MAX(B244,E244)&gt;=Thresholds!$C$7,"Tier 3 - High",IF(MAX(B244,E244)&gt;=Thresholds!$C$6,"Tier 2 - Moderate","Tier 1 - Low"))</f>
        <v>Tier 1 - Low</v>
      </c>
      <c r="K244" s="7" t="str">
        <f t="shared" si="2"/>
        <v>Low Volume - Setup Needed</v>
      </c>
      <c r="L244" s="10" t="str">
        <f t="shared" si="3"/>
        <v>Low/no B2B traffic yet - set a Business Price (5-10% below retail) and Quantity Discount tiers (e.g. 5+ units 5% off, 10+ units 10% off) to attract first B2B interest; add bulk/case-pack info to title and bullets</v>
      </c>
    </row>
    <row r="245" ht="14.25" customHeight="1">
      <c r="A245" s="10" t="s">
        <v>280</v>
      </c>
      <c r="B245" s="10">
        <v>1.0</v>
      </c>
      <c r="C245" s="10">
        <v>1.0</v>
      </c>
      <c r="D245" s="10">
        <v>0.0</v>
      </c>
      <c r="E245" s="10">
        <v>0.0</v>
      </c>
      <c r="F245" s="10">
        <v>0.0</v>
      </c>
      <c r="G245" s="10">
        <v>0.0</v>
      </c>
      <c r="H245" s="14">
        <v>1.0</v>
      </c>
      <c r="I245" s="7">
        <f t="shared" si="1"/>
        <v>-1</v>
      </c>
      <c r="J245" s="10" t="str">
        <f>IF(MAX(B245,E245)&gt;=Thresholds!$C$7,"Tier 3 - High",IF(MAX(B245,E245)&gt;=Thresholds!$C$6,"Tier 2 - Moderate","Tier 1 - Low"))</f>
        <v>Tier 1 - Low</v>
      </c>
      <c r="K245" s="7" t="str">
        <f t="shared" si="2"/>
        <v>Low Volume - Setup Needed</v>
      </c>
      <c r="L245" s="10" t="str">
        <f t="shared" si="3"/>
        <v>Low/no B2B traffic yet - set a Business Price (5-10% below retail) and Quantity Discount tiers (e.g. 5+ units 5% off, 10+ units 10% off) to attract first B2B interest; add bulk/case-pack info to title and bullets</v>
      </c>
    </row>
    <row r="246" ht="14.25" customHeight="1">
      <c r="A246" s="10" t="s">
        <v>281</v>
      </c>
      <c r="B246" s="10">
        <v>1.0</v>
      </c>
      <c r="C246" s="10">
        <v>2.0</v>
      </c>
      <c r="D246" s="10">
        <v>0.0</v>
      </c>
      <c r="E246" s="10">
        <v>0.0</v>
      </c>
      <c r="F246" s="10">
        <v>0.0</v>
      </c>
      <c r="G246" s="10">
        <v>0.0</v>
      </c>
      <c r="H246" s="14">
        <v>1.0</v>
      </c>
      <c r="I246" s="7">
        <f t="shared" si="1"/>
        <v>-1</v>
      </c>
      <c r="J246" s="10" t="str">
        <f>IF(MAX(B246,E246)&gt;=Thresholds!$C$7,"Tier 3 - High",IF(MAX(B246,E246)&gt;=Thresholds!$C$6,"Tier 2 - Moderate","Tier 1 - Low"))</f>
        <v>Tier 1 - Low</v>
      </c>
      <c r="K246" s="7" t="str">
        <f t="shared" si="2"/>
        <v>Low Volume - Setup Needed</v>
      </c>
      <c r="L246" s="10" t="str">
        <f t="shared" si="3"/>
        <v>Low/no B2B traffic yet - set a Business Price (5-10% below retail) and Quantity Discount tiers (e.g. 5+ units 5% off, 10+ units 10% off) to attract first B2B interest; add bulk/case-pack info to title and bullets</v>
      </c>
    </row>
    <row r="247" ht="14.25" customHeight="1">
      <c r="A247" s="10" t="s">
        <v>282</v>
      </c>
      <c r="B247" s="10">
        <v>1.0</v>
      </c>
      <c r="C247" s="10">
        <v>2.0</v>
      </c>
      <c r="D247" s="10">
        <v>3.0</v>
      </c>
      <c r="E247" s="10">
        <v>0.0</v>
      </c>
      <c r="F247" s="10">
        <v>0.0</v>
      </c>
      <c r="G247" s="10">
        <v>0.0</v>
      </c>
      <c r="H247" s="14">
        <v>1.0</v>
      </c>
      <c r="I247" s="7">
        <f t="shared" si="1"/>
        <v>-1</v>
      </c>
      <c r="J247" s="10" t="str">
        <f>IF(MAX(B247,E247)&gt;=Thresholds!$C$7,"Tier 3 - High",IF(MAX(B247,E247)&gt;=Thresholds!$C$6,"Tier 2 - Moderate","Tier 1 - Low"))</f>
        <v>Tier 1 - Low</v>
      </c>
      <c r="K247" s="7" t="str">
        <f t="shared" si="2"/>
        <v>Low Volume - Setup Needed</v>
      </c>
      <c r="L247" s="10" t="str">
        <f t="shared" si="3"/>
        <v>Low/no B2B traffic yet - set a Business Price (5-10% below retail) and Quantity Discount tiers (e.g. 5+ units 5% off, 10+ units 10% off) to attract first B2B interest; add bulk/case-pack info to title and bullets</v>
      </c>
    </row>
    <row r="248" ht="14.25" customHeight="1">
      <c r="A248" s="10" t="s">
        <v>283</v>
      </c>
      <c r="B248" s="10">
        <v>2.0</v>
      </c>
      <c r="C248" s="10">
        <v>3.0</v>
      </c>
      <c r="D248" s="10">
        <v>0.0</v>
      </c>
      <c r="E248" s="10">
        <v>1.0</v>
      </c>
      <c r="F248" s="10">
        <v>1.0</v>
      </c>
      <c r="G248" s="10">
        <v>0.0</v>
      </c>
      <c r="H248" s="14">
        <v>0.95</v>
      </c>
      <c r="I248" s="7">
        <f t="shared" si="1"/>
        <v>-1</v>
      </c>
      <c r="J248" s="10" t="str">
        <f>IF(MAX(B248,E248)&gt;=Thresholds!$C$7,"Tier 3 - High",IF(MAX(B248,E248)&gt;=Thresholds!$C$6,"Tier 2 - Moderate","Tier 1 - Low"))</f>
        <v>Tier 1 - Low</v>
      </c>
      <c r="K248" s="7" t="str">
        <f t="shared" si="2"/>
        <v>Low Volume - Setup Needed</v>
      </c>
      <c r="L248" s="10" t="str">
        <f t="shared" si="3"/>
        <v>Low/no B2B traffic yet - set a Business Price (5-10% below retail) and Quantity Discount tiers (e.g. 5+ units 5% off, 10+ units 10% off) to attract first B2B interest; add bulk/case-pack info to title and bullets</v>
      </c>
    </row>
    <row r="249" ht="14.25" customHeight="1">
      <c r="A249" s="10" t="s">
        <v>284</v>
      </c>
      <c r="B249" s="10">
        <v>3.0</v>
      </c>
      <c r="C249" s="10">
        <v>3.0</v>
      </c>
      <c r="D249" s="10">
        <v>1.0</v>
      </c>
      <c r="E249" s="10">
        <v>2.0</v>
      </c>
      <c r="F249" s="10">
        <v>5.0</v>
      </c>
      <c r="G249" s="10">
        <v>0.0</v>
      </c>
      <c r="H249" s="14">
        <v>0.9333</v>
      </c>
      <c r="I249" s="7">
        <f t="shared" si="1"/>
        <v>-1</v>
      </c>
      <c r="J249" s="10" t="str">
        <f>IF(MAX(B249,E249)&gt;=Thresholds!$C$7,"Tier 3 - High",IF(MAX(B249,E249)&gt;=Thresholds!$C$6,"Tier 2 - Moderate","Tier 1 - Low"))</f>
        <v>Tier 1 - Low</v>
      </c>
      <c r="K249" s="7" t="str">
        <f t="shared" si="2"/>
        <v>Low Volume - Setup Needed</v>
      </c>
      <c r="L249" s="10" t="str">
        <f t="shared" si="3"/>
        <v>Low/no B2B traffic yet - set a Business Price (5-10% below retail) and Quantity Discount tiers (e.g. 5+ units 5% off, 10+ units 10% off) to attract first B2B interest; add bulk/case-pack info to title and bullets</v>
      </c>
    </row>
    <row r="250" ht="14.25" customHeight="1">
      <c r="A250" s="10" t="s">
        <v>285</v>
      </c>
      <c r="B250" s="10">
        <v>1.0</v>
      </c>
      <c r="C250" s="10">
        <v>1.0</v>
      </c>
      <c r="D250" s="10">
        <v>0.0</v>
      </c>
      <c r="E250" s="10">
        <v>0.0</v>
      </c>
      <c r="F250" s="10">
        <v>0.0</v>
      </c>
      <c r="G250" s="10">
        <v>0.0</v>
      </c>
      <c r="H250" s="14">
        <v>0.5</v>
      </c>
      <c r="I250" s="7">
        <f t="shared" si="1"/>
        <v>-1</v>
      </c>
      <c r="J250" s="10" t="str">
        <f>IF(MAX(B250,E250)&gt;=Thresholds!$C$7,"Tier 3 - High",IF(MAX(B250,E250)&gt;=Thresholds!$C$6,"Tier 2 - Moderate","Tier 1 - Low"))</f>
        <v>Tier 1 - Low</v>
      </c>
      <c r="K250" s="7" t="str">
        <f t="shared" si="2"/>
        <v>Low Volume - Setup Needed</v>
      </c>
      <c r="L250" s="10" t="str">
        <f t="shared" si="3"/>
        <v>Low/no B2B traffic yet - set a Business Price (5-10% below retail) and Quantity Discount tiers (e.g. 5+ units 5% off, 10+ units 10% off) to attract first B2B interest; add bulk/case-pack info to title and bullets</v>
      </c>
    </row>
    <row r="251" ht="14.25" customHeight="1">
      <c r="A251" s="10" t="s">
        <v>286</v>
      </c>
      <c r="B251" s="10">
        <v>1.0</v>
      </c>
      <c r="C251" s="10">
        <v>1.0</v>
      </c>
      <c r="D251" s="10">
        <v>0.0</v>
      </c>
      <c r="E251" s="10">
        <v>0.0</v>
      </c>
      <c r="F251" s="10">
        <v>0.0</v>
      </c>
      <c r="G251" s="10">
        <v>0.0</v>
      </c>
      <c r="H251" s="14">
        <v>1.0</v>
      </c>
      <c r="I251" s="7">
        <f t="shared" si="1"/>
        <v>-1</v>
      </c>
      <c r="J251" s="10" t="str">
        <f>IF(MAX(B251,E251)&gt;=Thresholds!$C$7,"Tier 3 - High",IF(MAX(B251,E251)&gt;=Thresholds!$C$6,"Tier 2 - Moderate","Tier 1 - Low"))</f>
        <v>Tier 1 - Low</v>
      </c>
      <c r="K251" s="7" t="str">
        <f t="shared" si="2"/>
        <v>Low Volume - Setup Needed</v>
      </c>
      <c r="L251" s="10" t="str">
        <f t="shared" si="3"/>
        <v>Low/no B2B traffic yet - set a Business Price (5-10% below retail) and Quantity Discount tiers (e.g. 5+ units 5% off, 10+ units 10% off) to attract first B2B interest; add bulk/case-pack info to title and bullets</v>
      </c>
    </row>
    <row r="252" ht="14.25" customHeight="1">
      <c r="A252" s="10" t="s">
        <v>287</v>
      </c>
      <c r="B252" s="10">
        <v>1.0</v>
      </c>
      <c r="C252" s="10">
        <v>1.0</v>
      </c>
      <c r="D252" s="10">
        <v>0.0</v>
      </c>
      <c r="E252" s="10">
        <v>0.0</v>
      </c>
      <c r="F252" s="10">
        <v>0.0</v>
      </c>
      <c r="G252" s="10">
        <v>0.0</v>
      </c>
      <c r="H252" s="14">
        <v>1.0</v>
      </c>
      <c r="I252" s="7">
        <f t="shared" si="1"/>
        <v>-1</v>
      </c>
      <c r="J252" s="10" t="str">
        <f>IF(MAX(B252,E252)&gt;=Thresholds!$C$7,"Tier 3 - High",IF(MAX(B252,E252)&gt;=Thresholds!$C$6,"Tier 2 - Moderate","Tier 1 - Low"))</f>
        <v>Tier 1 - Low</v>
      </c>
      <c r="K252" s="7" t="str">
        <f t="shared" si="2"/>
        <v>Low Volume - Setup Needed</v>
      </c>
      <c r="L252" s="10" t="str">
        <f t="shared" si="3"/>
        <v>Low/no B2B traffic yet - set a Business Price (5-10% below retail) and Quantity Discount tiers (e.g. 5+ units 5% off, 10+ units 10% off) to attract first B2B interest; add bulk/case-pack info to title and bullets</v>
      </c>
    </row>
    <row r="253" ht="14.25" customHeight="1">
      <c r="A253" s="10" t="s">
        <v>288</v>
      </c>
      <c r="B253" s="10">
        <v>1.0</v>
      </c>
      <c r="C253" s="10">
        <v>1.0</v>
      </c>
      <c r="D253" s="10">
        <v>0.0</v>
      </c>
      <c r="E253" s="10">
        <v>0.0</v>
      </c>
      <c r="F253" s="10">
        <v>0.0</v>
      </c>
      <c r="G253" s="10">
        <v>0.0</v>
      </c>
      <c r="H253" s="14">
        <v>1.0</v>
      </c>
      <c r="I253" s="7">
        <f t="shared" si="1"/>
        <v>-1</v>
      </c>
      <c r="J253" s="10" t="str">
        <f>IF(MAX(B253,E253)&gt;=Thresholds!$C$7,"Tier 3 - High",IF(MAX(B253,E253)&gt;=Thresholds!$C$6,"Tier 2 - Moderate","Tier 1 - Low"))</f>
        <v>Tier 1 - Low</v>
      </c>
      <c r="K253" s="7" t="str">
        <f t="shared" si="2"/>
        <v>Low Volume - Setup Needed</v>
      </c>
      <c r="L253" s="10" t="str">
        <f t="shared" si="3"/>
        <v>Low/no B2B traffic yet - set a Business Price (5-10% below retail) and Quantity Discount tiers (e.g. 5+ units 5% off, 10+ units 10% off) to attract first B2B interest; add bulk/case-pack info to title and bullets</v>
      </c>
    </row>
    <row r="254" ht="14.25" customHeight="1">
      <c r="A254" s="10" t="s">
        <v>289</v>
      </c>
      <c r="B254" s="10">
        <v>1.0</v>
      </c>
      <c r="C254" s="10">
        <v>3.0</v>
      </c>
      <c r="D254" s="10">
        <v>0.0</v>
      </c>
      <c r="E254" s="10">
        <v>0.0</v>
      </c>
      <c r="F254" s="10">
        <v>0.0</v>
      </c>
      <c r="G254" s="10">
        <v>0.0</v>
      </c>
      <c r="H254" s="14">
        <v>1.0</v>
      </c>
      <c r="I254" s="7">
        <f t="shared" si="1"/>
        <v>-1</v>
      </c>
      <c r="J254" s="10" t="str">
        <f>IF(MAX(B254,E254)&gt;=Thresholds!$C$7,"Tier 3 - High",IF(MAX(B254,E254)&gt;=Thresholds!$C$6,"Tier 2 - Moderate","Tier 1 - Low"))</f>
        <v>Tier 1 - Low</v>
      </c>
      <c r="K254" s="7" t="str">
        <f t="shared" si="2"/>
        <v>Low Volume - Setup Needed</v>
      </c>
      <c r="L254" s="10" t="str">
        <f t="shared" si="3"/>
        <v>Low/no B2B traffic yet - set a Business Price (5-10% below retail) and Quantity Discount tiers (e.g. 5+ units 5% off, 10+ units 10% off) to attract first B2B interest; add bulk/case-pack info to title and bullets</v>
      </c>
    </row>
    <row r="255" ht="14.25" customHeight="1">
      <c r="A255" s="10" t="s">
        <v>290</v>
      </c>
      <c r="B255" s="10">
        <v>1.0</v>
      </c>
      <c r="C255" s="10">
        <v>1.0</v>
      </c>
      <c r="D255" s="10">
        <v>0.0</v>
      </c>
      <c r="E255" s="10">
        <v>0.0</v>
      </c>
      <c r="F255" s="10">
        <v>0.0</v>
      </c>
      <c r="G255" s="10">
        <v>0.0</v>
      </c>
      <c r="H255" s="14">
        <v>1.0</v>
      </c>
      <c r="I255" s="7">
        <f t="shared" si="1"/>
        <v>-1</v>
      </c>
      <c r="J255" s="10" t="str">
        <f>IF(MAX(B255,E255)&gt;=Thresholds!$C$7,"Tier 3 - High",IF(MAX(B255,E255)&gt;=Thresholds!$C$6,"Tier 2 - Moderate","Tier 1 - Low"))</f>
        <v>Tier 1 - Low</v>
      </c>
      <c r="K255" s="7" t="str">
        <f t="shared" si="2"/>
        <v>Low Volume - Setup Needed</v>
      </c>
      <c r="L255" s="10" t="str">
        <f t="shared" si="3"/>
        <v>Low/no B2B traffic yet - set a Business Price (5-10% below retail) and Quantity Discount tiers (e.g. 5+ units 5% off, 10+ units 10% off) to attract first B2B interest; add bulk/case-pack info to title and bullets</v>
      </c>
    </row>
    <row r="256" ht="14.25" customHeight="1">
      <c r="A256" s="10" t="s">
        <v>291</v>
      </c>
      <c r="B256" s="10">
        <v>2.0</v>
      </c>
      <c r="C256" s="10">
        <v>2.0</v>
      </c>
      <c r="D256" s="10">
        <v>0.0</v>
      </c>
      <c r="E256" s="10">
        <v>1.0</v>
      </c>
      <c r="F256" s="10">
        <v>1.0</v>
      </c>
      <c r="G256" s="10">
        <v>0.0</v>
      </c>
      <c r="H256" s="14">
        <v>0.9419</v>
      </c>
      <c r="I256" s="7">
        <f t="shared" si="1"/>
        <v>-1</v>
      </c>
      <c r="J256" s="10" t="str">
        <f>IF(MAX(B256,E256)&gt;=Thresholds!$C$7,"Tier 3 - High",IF(MAX(B256,E256)&gt;=Thresholds!$C$6,"Tier 2 - Moderate","Tier 1 - Low"))</f>
        <v>Tier 1 - Low</v>
      </c>
      <c r="K256" s="7" t="str">
        <f t="shared" si="2"/>
        <v>Low Volume - Setup Needed</v>
      </c>
      <c r="L256" s="10" t="str">
        <f t="shared" si="3"/>
        <v>Low/no B2B traffic yet - set a Business Price (5-10% below retail) and Quantity Discount tiers (e.g. 5+ units 5% off, 10+ units 10% off) to attract first B2B interest; add bulk/case-pack info to title and bullets</v>
      </c>
    </row>
    <row r="257" ht="14.25" customHeight="1">
      <c r="A257" s="10" t="s">
        <v>292</v>
      </c>
      <c r="B257" s="10">
        <v>1.0</v>
      </c>
      <c r="C257" s="10">
        <v>1.0</v>
      </c>
      <c r="D257" s="10">
        <v>0.0</v>
      </c>
      <c r="E257" s="10">
        <v>0.0</v>
      </c>
      <c r="F257" s="10">
        <v>0.0</v>
      </c>
      <c r="G257" s="10">
        <v>0.0</v>
      </c>
      <c r="H257" s="14">
        <v>1.0</v>
      </c>
      <c r="I257" s="7">
        <f t="shared" si="1"/>
        <v>-1</v>
      </c>
      <c r="J257" s="10" t="str">
        <f>IF(MAX(B257,E257)&gt;=Thresholds!$C$7,"Tier 3 - High",IF(MAX(B257,E257)&gt;=Thresholds!$C$6,"Tier 2 - Moderate","Tier 1 - Low"))</f>
        <v>Tier 1 - Low</v>
      </c>
      <c r="K257" s="7" t="str">
        <f t="shared" si="2"/>
        <v>Low Volume - Setup Needed</v>
      </c>
      <c r="L257" s="10" t="str">
        <f t="shared" si="3"/>
        <v>Low/no B2B traffic yet - set a Business Price (5-10% below retail) and Quantity Discount tiers (e.g. 5+ units 5% off, 10+ units 10% off) to attract first B2B interest; add bulk/case-pack info to title and bullets</v>
      </c>
    </row>
    <row r="258" ht="14.25" customHeight="1">
      <c r="A258" s="10" t="s">
        <v>293</v>
      </c>
      <c r="B258" s="10">
        <v>1.0</v>
      </c>
      <c r="C258" s="10">
        <v>1.0</v>
      </c>
      <c r="D258" s="10">
        <v>0.0</v>
      </c>
      <c r="E258" s="10">
        <v>0.0</v>
      </c>
      <c r="F258" s="10">
        <v>0.0</v>
      </c>
      <c r="G258" s="10">
        <v>0.0</v>
      </c>
      <c r="H258" s="14">
        <v>1.0</v>
      </c>
      <c r="I258" s="7">
        <f t="shared" si="1"/>
        <v>-1</v>
      </c>
      <c r="J258" s="10" t="str">
        <f>IF(MAX(B258,E258)&gt;=Thresholds!$C$7,"Tier 3 - High",IF(MAX(B258,E258)&gt;=Thresholds!$C$6,"Tier 2 - Moderate","Tier 1 - Low"))</f>
        <v>Tier 1 - Low</v>
      </c>
      <c r="K258" s="7" t="str">
        <f t="shared" si="2"/>
        <v>Low Volume - Setup Needed</v>
      </c>
      <c r="L258" s="10" t="str">
        <f t="shared" si="3"/>
        <v>Low/no B2B traffic yet - set a Business Price (5-10% below retail) and Quantity Discount tiers (e.g. 5+ units 5% off, 10+ units 10% off) to attract first B2B interest; add bulk/case-pack info to title and bullets</v>
      </c>
    </row>
    <row r="259" ht="14.25" customHeight="1">
      <c r="A259" s="10" t="s">
        <v>294</v>
      </c>
      <c r="B259" s="10">
        <v>1.0</v>
      </c>
      <c r="C259" s="10">
        <v>1.0</v>
      </c>
      <c r="D259" s="10">
        <v>0.0</v>
      </c>
      <c r="E259" s="10">
        <v>0.0</v>
      </c>
      <c r="F259" s="10">
        <v>0.0</v>
      </c>
      <c r="G259" s="10">
        <v>0.0</v>
      </c>
      <c r="H259" s="14">
        <v>1.0</v>
      </c>
      <c r="I259" s="7">
        <f t="shared" si="1"/>
        <v>-1</v>
      </c>
      <c r="J259" s="10" t="str">
        <f>IF(MAX(B259,E259)&gt;=Thresholds!$C$7,"Tier 3 - High",IF(MAX(B259,E259)&gt;=Thresholds!$C$6,"Tier 2 - Moderate","Tier 1 - Low"))</f>
        <v>Tier 1 - Low</v>
      </c>
      <c r="K259" s="7" t="str">
        <f t="shared" si="2"/>
        <v>Low Volume - Setup Needed</v>
      </c>
      <c r="L259" s="10" t="str">
        <f t="shared" si="3"/>
        <v>Low/no B2B traffic yet - set a Business Price (5-10% below retail) and Quantity Discount tiers (e.g. 5+ units 5% off, 10+ units 10% off) to attract first B2B interest; add bulk/case-pack info to title and bullets</v>
      </c>
    </row>
    <row r="260" ht="14.25" customHeight="1">
      <c r="A260" s="10" t="s">
        <v>295</v>
      </c>
      <c r="B260" s="10">
        <v>1.0</v>
      </c>
      <c r="C260" s="10">
        <v>1.0</v>
      </c>
      <c r="D260" s="10">
        <v>0.0</v>
      </c>
      <c r="E260" s="10">
        <v>0.0</v>
      </c>
      <c r="F260" s="10">
        <v>0.0</v>
      </c>
      <c r="G260" s="10">
        <v>0.0</v>
      </c>
      <c r="H260" s="14">
        <v>1.0</v>
      </c>
      <c r="I260" s="7">
        <f t="shared" si="1"/>
        <v>-1</v>
      </c>
      <c r="J260" s="10" t="str">
        <f>IF(MAX(B260,E260)&gt;=Thresholds!$C$7,"Tier 3 - High",IF(MAX(B260,E260)&gt;=Thresholds!$C$6,"Tier 2 - Moderate","Tier 1 - Low"))</f>
        <v>Tier 1 - Low</v>
      </c>
      <c r="K260" s="7" t="str">
        <f t="shared" si="2"/>
        <v>Low Volume - Setup Needed</v>
      </c>
      <c r="L260" s="10" t="str">
        <f t="shared" si="3"/>
        <v>Low/no B2B traffic yet - set a Business Price (5-10% below retail) and Quantity Discount tiers (e.g. 5+ units 5% off, 10+ units 10% off) to attract first B2B interest; add bulk/case-pack info to title and bullets</v>
      </c>
    </row>
    <row r="261" ht="14.25" customHeight="1">
      <c r="A261" s="10" t="s">
        <v>296</v>
      </c>
      <c r="B261" s="10">
        <v>1.0</v>
      </c>
      <c r="C261" s="10">
        <v>1.0</v>
      </c>
      <c r="D261" s="10">
        <v>0.0</v>
      </c>
      <c r="E261" s="10">
        <v>0.0</v>
      </c>
      <c r="F261" s="10">
        <v>0.0</v>
      </c>
      <c r="G261" s="10">
        <v>0.0</v>
      </c>
      <c r="H261" s="14">
        <v>1.0</v>
      </c>
      <c r="I261" s="7">
        <f t="shared" si="1"/>
        <v>-1</v>
      </c>
      <c r="J261" s="10" t="str">
        <f>IF(MAX(B261,E261)&gt;=Thresholds!$C$7,"Tier 3 - High",IF(MAX(B261,E261)&gt;=Thresholds!$C$6,"Tier 2 - Moderate","Tier 1 - Low"))</f>
        <v>Tier 1 - Low</v>
      </c>
      <c r="K261" s="7" t="str">
        <f t="shared" si="2"/>
        <v>Low Volume - Setup Needed</v>
      </c>
      <c r="L261" s="10" t="str">
        <f t="shared" si="3"/>
        <v>Low/no B2B traffic yet - set a Business Price (5-10% below retail) and Quantity Discount tiers (e.g. 5+ units 5% off, 10+ units 10% off) to attract first B2B interest; add bulk/case-pack info to title and bullets</v>
      </c>
    </row>
    <row r="262" ht="14.25" customHeight="1">
      <c r="A262" s="10" t="s">
        <v>297</v>
      </c>
      <c r="B262" s="10">
        <v>1.0</v>
      </c>
      <c r="C262" s="10">
        <v>1.0</v>
      </c>
      <c r="D262" s="10">
        <v>0.0</v>
      </c>
      <c r="E262" s="10">
        <v>0.0</v>
      </c>
      <c r="F262" s="10">
        <v>0.0</v>
      </c>
      <c r="G262" s="10">
        <v>0.0</v>
      </c>
      <c r="H262" s="14">
        <v>1.0</v>
      </c>
      <c r="I262" s="7">
        <f t="shared" si="1"/>
        <v>-1</v>
      </c>
      <c r="J262" s="10" t="str">
        <f>IF(MAX(B262,E262)&gt;=Thresholds!$C$7,"Tier 3 - High",IF(MAX(B262,E262)&gt;=Thresholds!$C$6,"Tier 2 - Moderate","Tier 1 - Low"))</f>
        <v>Tier 1 - Low</v>
      </c>
      <c r="K262" s="7" t="str">
        <f t="shared" si="2"/>
        <v>Low Volume - Setup Needed</v>
      </c>
      <c r="L262" s="10" t="str">
        <f t="shared" si="3"/>
        <v>Low/no B2B traffic yet - set a Business Price (5-10% below retail) and Quantity Discount tiers (e.g. 5+ units 5% off, 10+ units 10% off) to attract first B2B interest; add bulk/case-pack info to title and bullets</v>
      </c>
    </row>
    <row r="263" ht="14.25" customHeight="1">
      <c r="A263" s="10" t="s">
        <v>298</v>
      </c>
      <c r="B263" s="10">
        <v>2.0</v>
      </c>
      <c r="C263" s="10">
        <v>2.0</v>
      </c>
      <c r="D263" s="10">
        <v>0.0</v>
      </c>
      <c r="E263" s="10">
        <v>1.0</v>
      </c>
      <c r="F263" s="10">
        <v>1.0</v>
      </c>
      <c r="G263" s="10">
        <v>0.0</v>
      </c>
      <c r="H263" s="14">
        <v>0.9091</v>
      </c>
      <c r="I263" s="7">
        <f t="shared" si="1"/>
        <v>-1</v>
      </c>
      <c r="J263" s="10" t="str">
        <f>IF(MAX(B263,E263)&gt;=Thresholds!$C$7,"Tier 3 - High",IF(MAX(B263,E263)&gt;=Thresholds!$C$6,"Tier 2 - Moderate","Tier 1 - Low"))</f>
        <v>Tier 1 - Low</v>
      </c>
      <c r="K263" s="7" t="str">
        <f t="shared" si="2"/>
        <v>Low Volume - Setup Needed</v>
      </c>
      <c r="L263" s="10" t="str">
        <f t="shared" si="3"/>
        <v>Low/no B2B traffic yet - set a Business Price (5-10% below retail) and Quantity Discount tiers (e.g. 5+ units 5% off, 10+ units 10% off) to attract first B2B interest; add bulk/case-pack info to title and bullets</v>
      </c>
    </row>
    <row r="264" ht="14.25" customHeight="1">
      <c r="A264" s="10" t="s">
        <v>299</v>
      </c>
      <c r="B264" s="10">
        <v>1.0</v>
      </c>
      <c r="C264" s="10">
        <v>1.0</v>
      </c>
      <c r="D264" s="10">
        <v>0.0</v>
      </c>
      <c r="E264" s="10">
        <v>0.0</v>
      </c>
      <c r="F264" s="10">
        <v>0.0</v>
      </c>
      <c r="G264" s="10">
        <v>0.0</v>
      </c>
      <c r="H264" s="14">
        <v>0.0</v>
      </c>
      <c r="I264" s="7">
        <f t="shared" si="1"/>
        <v>-1</v>
      </c>
      <c r="J264" s="10" t="str">
        <f>IF(MAX(B264,E264)&gt;=Thresholds!$C$7,"Tier 3 - High",IF(MAX(B264,E264)&gt;=Thresholds!$C$6,"Tier 2 - Moderate","Tier 1 - Low"))</f>
        <v>Tier 1 - Low</v>
      </c>
      <c r="K264" s="7" t="str">
        <f t="shared" si="2"/>
        <v>Low Volume - Setup Needed</v>
      </c>
      <c r="L264" s="10" t="str">
        <f t="shared" si="3"/>
        <v>Low/no B2B traffic yet - set a Business Price (5-10% below retail) and Quantity Discount tiers (e.g. 5+ units 5% off, 10+ units 10% off) to attract first B2B interest; add bulk/case-pack info to title and bullets</v>
      </c>
    </row>
    <row r="265" ht="14.25" customHeight="1">
      <c r="A265" s="10" t="s">
        <v>300</v>
      </c>
      <c r="B265" s="10">
        <v>1.0</v>
      </c>
      <c r="C265" s="10">
        <v>2.0</v>
      </c>
      <c r="D265" s="10">
        <v>0.0</v>
      </c>
      <c r="E265" s="10">
        <v>0.0</v>
      </c>
      <c r="F265" s="10">
        <v>0.0</v>
      </c>
      <c r="G265" s="10">
        <v>0.0</v>
      </c>
      <c r="H265" s="14">
        <v>1.0</v>
      </c>
      <c r="I265" s="7">
        <f t="shared" si="1"/>
        <v>-1</v>
      </c>
      <c r="J265" s="10" t="str">
        <f>IF(MAX(B265,E265)&gt;=Thresholds!$C$7,"Tier 3 - High",IF(MAX(B265,E265)&gt;=Thresholds!$C$6,"Tier 2 - Moderate","Tier 1 - Low"))</f>
        <v>Tier 1 - Low</v>
      </c>
      <c r="K265" s="7" t="str">
        <f t="shared" si="2"/>
        <v>Low Volume - Setup Needed</v>
      </c>
      <c r="L265" s="10" t="str">
        <f t="shared" si="3"/>
        <v>Low/no B2B traffic yet - set a Business Price (5-10% below retail) and Quantity Discount tiers (e.g. 5+ units 5% off, 10+ units 10% off) to attract first B2B interest; add bulk/case-pack info to title and bullets</v>
      </c>
    </row>
    <row r="266" ht="14.25" customHeight="1">
      <c r="A266" s="10" t="s">
        <v>301</v>
      </c>
      <c r="B266" s="10">
        <v>1.0</v>
      </c>
      <c r="C266" s="10">
        <v>1.0</v>
      </c>
      <c r="D266" s="10">
        <v>0.0</v>
      </c>
      <c r="E266" s="10">
        <v>0.0</v>
      </c>
      <c r="F266" s="10">
        <v>0.0</v>
      </c>
      <c r="G266" s="10">
        <v>0.0</v>
      </c>
      <c r="H266" s="14">
        <v>0.6667</v>
      </c>
      <c r="I266" s="7">
        <f t="shared" si="1"/>
        <v>-1</v>
      </c>
      <c r="J266" s="10" t="str">
        <f>IF(MAX(B266,E266)&gt;=Thresholds!$C$7,"Tier 3 - High",IF(MAX(B266,E266)&gt;=Thresholds!$C$6,"Tier 2 - Moderate","Tier 1 - Low"))</f>
        <v>Tier 1 - Low</v>
      </c>
      <c r="K266" s="7" t="str">
        <f t="shared" si="2"/>
        <v>Low Volume - Setup Needed</v>
      </c>
      <c r="L266" s="10" t="str">
        <f t="shared" si="3"/>
        <v>Low/no B2B traffic yet - set a Business Price (5-10% below retail) and Quantity Discount tiers (e.g. 5+ units 5% off, 10+ units 10% off) to attract first B2B interest; add bulk/case-pack info to title and bullets</v>
      </c>
    </row>
    <row r="267" ht="14.25" customHeight="1">
      <c r="A267" s="10" t="s">
        <v>302</v>
      </c>
      <c r="B267" s="10">
        <v>2.0</v>
      </c>
      <c r="C267" s="10">
        <v>2.0</v>
      </c>
      <c r="D267" s="10">
        <v>0.0</v>
      </c>
      <c r="E267" s="10">
        <v>1.0</v>
      </c>
      <c r="F267" s="10">
        <v>1.0</v>
      </c>
      <c r="G267" s="10">
        <v>0.0</v>
      </c>
      <c r="H267" s="14">
        <v>1.0</v>
      </c>
      <c r="I267" s="7">
        <f t="shared" si="1"/>
        <v>-1</v>
      </c>
      <c r="J267" s="10" t="str">
        <f>IF(MAX(B267,E267)&gt;=Thresholds!$C$7,"Tier 3 - High",IF(MAX(B267,E267)&gt;=Thresholds!$C$6,"Tier 2 - Moderate","Tier 1 - Low"))</f>
        <v>Tier 1 - Low</v>
      </c>
      <c r="K267" s="7" t="str">
        <f t="shared" si="2"/>
        <v>Low Volume - Setup Needed</v>
      </c>
      <c r="L267" s="10" t="str">
        <f t="shared" si="3"/>
        <v>Low/no B2B traffic yet - set a Business Price (5-10% below retail) and Quantity Discount tiers (e.g. 5+ units 5% off, 10+ units 10% off) to attract first B2B interest; add bulk/case-pack info to title and bullets</v>
      </c>
    </row>
    <row r="268" ht="14.25" customHeight="1">
      <c r="A268" s="10" t="s">
        <v>303</v>
      </c>
      <c r="B268" s="10">
        <v>1.0</v>
      </c>
      <c r="C268" s="10">
        <v>1.0</v>
      </c>
      <c r="D268" s="10">
        <v>0.0</v>
      </c>
      <c r="E268" s="10">
        <v>0.0</v>
      </c>
      <c r="F268" s="10">
        <v>0.0</v>
      </c>
      <c r="G268" s="10">
        <v>1.0</v>
      </c>
      <c r="H268" s="14">
        <v>0.94</v>
      </c>
      <c r="I268" s="7">
        <f t="shared" si="1"/>
        <v>-1</v>
      </c>
      <c r="J268" s="10" t="str">
        <f>IF(MAX(B268,E268)&gt;=Thresholds!$C$7,"Tier 3 - High",IF(MAX(B268,E268)&gt;=Thresholds!$C$6,"Tier 2 - Moderate","Tier 1 - Low"))</f>
        <v>Tier 1 - Low</v>
      </c>
      <c r="K268" s="7" t="str">
        <f t="shared" si="2"/>
        <v>Low Volume - Setup Needed</v>
      </c>
      <c r="L268" s="10" t="str">
        <f t="shared" si="3"/>
        <v>Low/no B2B traffic yet - set a Business Price (5-10% below retail) and Quantity Discount tiers (e.g. 5+ units 5% off, 10+ units 10% off) to attract first B2B interest; add bulk/case-pack info to title and bullets</v>
      </c>
    </row>
    <row r="269" ht="14.25" customHeight="1">
      <c r="A269" s="10" t="s">
        <v>304</v>
      </c>
      <c r="B269" s="10">
        <v>1.0</v>
      </c>
      <c r="C269" s="10">
        <v>1.0</v>
      </c>
      <c r="D269" s="10">
        <v>0.0</v>
      </c>
      <c r="E269" s="10">
        <v>0.0</v>
      </c>
      <c r="F269" s="10">
        <v>0.0</v>
      </c>
      <c r="G269" s="10">
        <v>0.0</v>
      </c>
      <c r="H269" s="14">
        <v>1.0</v>
      </c>
      <c r="I269" s="7">
        <f t="shared" si="1"/>
        <v>-1</v>
      </c>
      <c r="J269" s="10" t="str">
        <f>IF(MAX(B269,E269)&gt;=Thresholds!$C$7,"Tier 3 - High",IF(MAX(B269,E269)&gt;=Thresholds!$C$6,"Tier 2 - Moderate","Tier 1 - Low"))</f>
        <v>Tier 1 - Low</v>
      </c>
      <c r="K269" s="7" t="str">
        <f t="shared" si="2"/>
        <v>Low Volume - Setup Needed</v>
      </c>
      <c r="L269" s="10" t="str">
        <f t="shared" si="3"/>
        <v>Low/no B2B traffic yet - set a Business Price (5-10% below retail) and Quantity Discount tiers (e.g. 5+ units 5% off, 10+ units 10% off) to attract first B2B interest; add bulk/case-pack info to title and bullets</v>
      </c>
    </row>
    <row r="270" ht="14.25" customHeight="1">
      <c r="A270" s="10" t="s">
        <v>305</v>
      </c>
      <c r="B270" s="10">
        <v>1.0</v>
      </c>
      <c r="C270" s="10">
        <v>1.0</v>
      </c>
      <c r="D270" s="10">
        <v>0.0</v>
      </c>
      <c r="E270" s="10">
        <v>0.0</v>
      </c>
      <c r="F270" s="10">
        <v>0.0</v>
      </c>
      <c r="G270" s="10">
        <v>0.0</v>
      </c>
      <c r="H270" s="14">
        <v>1.0</v>
      </c>
      <c r="I270" s="7">
        <f t="shared" si="1"/>
        <v>-1</v>
      </c>
      <c r="J270" s="10" t="str">
        <f>IF(MAX(B270,E270)&gt;=Thresholds!$C$7,"Tier 3 - High",IF(MAX(B270,E270)&gt;=Thresholds!$C$6,"Tier 2 - Moderate","Tier 1 - Low"))</f>
        <v>Tier 1 - Low</v>
      </c>
      <c r="K270" s="7" t="str">
        <f t="shared" si="2"/>
        <v>Low Volume - Setup Needed</v>
      </c>
      <c r="L270" s="10" t="str">
        <f t="shared" si="3"/>
        <v>Low/no B2B traffic yet - set a Business Price (5-10% below retail) and Quantity Discount tiers (e.g. 5+ units 5% off, 10+ units 10% off) to attract first B2B interest; add bulk/case-pack info to title and bullets</v>
      </c>
    </row>
    <row r="271" ht="14.25" customHeight="1">
      <c r="A271" s="10" t="s">
        <v>306</v>
      </c>
      <c r="B271" s="10">
        <v>1.0</v>
      </c>
      <c r="C271" s="10">
        <v>1.0</v>
      </c>
      <c r="D271" s="10">
        <v>0.0</v>
      </c>
      <c r="E271" s="10">
        <v>0.0</v>
      </c>
      <c r="F271" s="10">
        <v>0.0</v>
      </c>
      <c r="G271" s="10">
        <v>0.0</v>
      </c>
      <c r="H271" s="14">
        <v>0.9722</v>
      </c>
      <c r="I271" s="7">
        <f t="shared" si="1"/>
        <v>-1</v>
      </c>
      <c r="J271" s="10" t="str">
        <f>IF(MAX(B271,E271)&gt;=Thresholds!$C$7,"Tier 3 - High",IF(MAX(B271,E271)&gt;=Thresholds!$C$6,"Tier 2 - Moderate","Tier 1 - Low"))</f>
        <v>Tier 1 - Low</v>
      </c>
      <c r="K271" s="7" t="str">
        <f t="shared" si="2"/>
        <v>Low Volume - Setup Needed</v>
      </c>
      <c r="L271" s="10" t="str">
        <f t="shared" si="3"/>
        <v>Low/no B2B traffic yet - set a Business Price (5-10% below retail) and Quantity Discount tiers (e.g. 5+ units 5% off, 10+ units 10% off) to attract first B2B interest; add bulk/case-pack info to title and bullets</v>
      </c>
    </row>
    <row r="272" ht="14.25" customHeight="1">
      <c r="A272" s="10" t="s">
        <v>307</v>
      </c>
      <c r="B272" s="10">
        <v>1.0</v>
      </c>
      <c r="C272" s="10">
        <v>1.0</v>
      </c>
      <c r="D272" s="10">
        <v>0.0</v>
      </c>
      <c r="E272" s="10">
        <v>0.0</v>
      </c>
      <c r="F272" s="10">
        <v>0.0</v>
      </c>
      <c r="G272" s="10">
        <v>0.0</v>
      </c>
      <c r="H272" s="14">
        <v>0.963</v>
      </c>
      <c r="I272" s="7">
        <f t="shared" si="1"/>
        <v>-1</v>
      </c>
      <c r="J272" s="10" t="str">
        <f>IF(MAX(B272,E272)&gt;=Thresholds!$C$7,"Tier 3 - High",IF(MAX(B272,E272)&gt;=Thresholds!$C$6,"Tier 2 - Moderate","Tier 1 - Low"))</f>
        <v>Tier 1 - Low</v>
      </c>
      <c r="K272" s="7" t="str">
        <f t="shared" si="2"/>
        <v>Low Volume - Setup Needed</v>
      </c>
      <c r="L272" s="10" t="str">
        <f t="shared" si="3"/>
        <v>Low/no B2B traffic yet - set a Business Price (5-10% below retail) and Quantity Discount tiers (e.g. 5+ units 5% off, 10+ units 10% off) to attract first B2B interest; add bulk/case-pack info to title and bullets</v>
      </c>
    </row>
    <row r="273" ht="14.25" customHeight="1">
      <c r="A273" s="10" t="s">
        <v>308</v>
      </c>
      <c r="B273" s="10">
        <v>1.0</v>
      </c>
      <c r="C273" s="10">
        <v>1.0</v>
      </c>
      <c r="D273" s="10">
        <v>0.0</v>
      </c>
      <c r="E273" s="10">
        <v>0.0</v>
      </c>
      <c r="F273" s="10">
        <v>0.0</v>
      </c>
      <c r="G273" s="10">
        <v>0.0</v>
      </c>
      <c r="H273" s="14">
        <v>0.8571</v>
      </c>
      <c r="I273" s="7">
        <f t="shared" si="1"/>
        <v>-1</v>
      </c>
      <c r="J273" s="10" t="str">
        <f>IF(MAX(B273,E273)&gt;=Thresholds!$C$7,"Tier 3 - High",IF(MAX(B273,E273)&gt;=Thresholds!$C$6,"Tier 2 - Moderate","Tier 1 - Low"))</f>
        <v>Tier 1 - Low</v>
      </c>
      <c r="K273" s="7" t="str">
        <f t="shared" si="2"/>
        <v>Low Volume - Setup Needed</v>
      </c>
      <c r="L273" s="10" t="str">
        <f t="shared" si="3"/>
        <v>Low/no B2B traffic yet - set a Business Price (5-10% below retail) and Quantity Discount tiers (e.g. 5+ units 5% off, 10+ units 10% off) to attract first B2B interest; add bulk/case-pack info to title and bullets</v>
      </c>
    </row>
    <row r="274" ht="14.25" customHeight="1">
      <c r="A274" s="10" t="s">
        <v>309</v>
      </c>
      <c r="B274" s="10">
        <v>3.0</v>
      </c>
      <c r="C274" s="10">
        <v>6.0</v>
      </c>
      <c r="D274" s="10">
        <v>0.0</v>
      </c>
      <c r="E274" s="10">
        <v>2.0</v>
      </c>
      <c r="F274" s="10">
        <v>2.0</v>
      </c>
      <c r="G274" s="10">
        <v>0.0</v>
      </c>
      <c r="H274" s="14">
        <v>1.0</v>
      </c>
      <c r="I274" s="7">
        <f t="shared" si="1"/>
        <v>-1</v>
      </c>
      <c r="J274" s="10" t="str">
        <f>IF(MAX(B274,E274)&gt;=Thresholds!$C$7,"Tier 3 - High",IF(MAX(B274,E274)&gt;=Thresholds!$C$6,"Tier 2 - Moderate","Tier 1 - Low"))</f>
        <v>Tier 1 - Low</v>
      </c>
      <c r="K274" s="7" t="str">
        <f t="shared" si="2"/>
        <v>Low Volume - Setup Needed</v>
      </c>
      <c r="L274" s="10" t="str">
        <f t="shared" si="3"/>
        <v>Low/no B2B traffic yet - set a Business Price (5-10% below retail) and Quantity Discount tiers (e.g. 5+ units 5% off, 10+ units 10% off) to attract first B2B interest; add bulk/case-pack info to title and bullets</v>
      </c>
    </row>
    <row r="275" ht="14.25" customHeight="1">
      <c r="A275" s="10" t="s">
        <v>310</v>
      </c>
      <c r="B275" s="10">
        <v>1.0</v>
      </c>
      <c r="C275" s="10">
        <v>3.0</v>
      </c>
      <c r="D275" s="10">
        <v>0.0</v>
      </c>
      <c r="E275" s="10">
        <v>0.0</v>
      </c>
      <c r="F275" s="10">
        <v>0.0</v>
      </c>
      <c r="G275" s="10">
        <v>0.0</v>
      </c>
      <c r="H275" s="14">
        <v>1.0</v>
      </c>
      <c r="I275" s="7">
        <f t="shared" si="1"/>
        <v>-1</v>
      </c>
      <c r="J275" s="10" t="str">
        <f>IF(MAX(B275,E275)&gt;=Thresholds!$C$7,"Tier 3 - High",IF(MAX(B275,E275)&gt;=Thresholds!$C$6,"Tier 2 - Moderate","Tier 1 - Low"))</f>
        <v>Tier 1 - Low</v>
      </c>
      <c r="K275" s="7" t="str">
        <f t="shared" si="2"/>
        <v>Low Volume - Setup Needed</v>
      </c>
      <c r="L275" s="10" t="str">
        <f t="shared" si="3"/>
        <v>Low/no B2B traffic yet - set a Business Price (5-10% below retail) and Quantity Discount tiers (e.g. 5+ units 5% off, 10+ units 10% off) to attract first B2B interest; add bulk/case-pack info to title and bullets</v>
      </c>
    </row>
    <row r="276" ht="14.25" customHeight="1">
      <c r="A276" s="10" t="s">
        <v>311</v>
      </c>
      <c r="B276" s="10">
        <v>1.0</v>
      </c>
      <c r="C276" s="10">
        <v>1.0</v>
      </c>
      <c r="D276" s="10">
        <v>0.0</v>
      </c>
      <c r="E276" s="10">
        <v>0.0</v>
      </c>
      <c r="F276" s="10">
        <v>0.0</v>
      </c>
      <c r="G276" s="10">
        <v>0.0</v>
      </c>
      <c r="H276" s="14">
        <v>1.0</v>
      </c>
      <c r="I276" s="7">
        <f t="shared" si="1"/>
        <v>-1</v>
      </c>
      <c r="J276" s="10" t="str">
        <f>IF(MAX(B276,E276)&gt;=Thresholds!$C$7,"Tier 3 - High",IF(MAX(B276,E276)&gt;=Thresholds!$C$6,"Tier 2 - Moderate","Tier 1 - Low"))</f>
        <v>Tier 1 - Low</v>
      </c>
      <c r="K276" s="7" t="str">
        <f t="shared" si="2"/>
        <v>Low Volume - Setup Needed</v>
      </c>
      <c r="L276" s="10" t="str">
        <f t="shared" si="3"/>
        <v>Low/no B2B traffic yet - set a Business Price (5-10% below retail) and Quantity Discount tiers (e.g. 5+ units 5% off, 10+ units 10% off) to attract first B2B interest; add bulk/case-pack info to title and bullets</v>
      </c>
    </row>
    <row r="277" ht="14.25" customHeight="1">
      <c r="A277" s="10" t="s">
        <v>312</v>
      </c>
      <c r="B277" s="10">
        <v>1.0</v>
      </c>
      <c r="C277" s="10">
        <v>1.0</v>
      </c>
      <c r="D277" s="10">
        <v>0.0</v>
      </c>
      <c r="E277" s="10">
        <v>0.0</v>
      </c>
      <c r="F277" s="10">
        <v>0.0</v>
      </c>
      <c r="G277" s="10">
        <v>0.0</v>
      </c>
      <c r="H277" s="14">
        <v>0.9398</v>
      </c>
      <c r="I277" s="7">
        <f t="shared" si="1"/>
        <v>-1</v>
      </c>
      <c r="J277" s="10" t="str">
        <f>IF(MAX(B277,E277)&gt;=Thresholds!$C$7,"Tier 3 - High",IF(MAX(B277,E277)&gt;=Thresholds!$C$6,"Tier 2 - Moderate","Tier 1 - Low"))</f>
        <v>Tier 1 - Low</v>
      </c>
      <c r="K277" s="7" t="str">
        <f t="shared" si="2"/>
        <v>Low Volume - Setup Needed</v>
      </c>
      <c r="L277" s="10" t="str">
        <f t="shared" si="3"/>
        <v>Low/no B2B traffic yet - set a Business Price (5-10% below retail) and Quantity Discount tiers (e.g. 5+ units 5% off, 10+ units 10% off) to attract first B2B interest; add bulk/case-pack info to title and bullets</v>
      </c>
    </row>
    <row r="278" ht="14.25" customHeight="1">
      <c r="A278" s="10" t="s">
        <v>313</v>
      </c>
      <c r="B278" s="10">
        <v>1.0</v>
      </c>
      <c r="C278" s="10">
        <v>1.0</v>
      </c>
      <c r="D278" s="10">
        <v>0.0</v>
      </c>
      <c r="E278" s="10">
        <v>0.0</v>
      </c>
      <c r="F278" s="10">
        <v>0.0</v>
      </c>
      <c r="G278" s="10">
        <v>0.0</v>
      </c>
      <c r="H278" s="14">
        <v>1.0</v>
      </c>
      <c r="I278" s="7">
        <f t="shared" si="1"/>
        <v>-1</v>
      </c>
      <c r="J278" s="10" t="str">
        <f>IF(MAX(B278,E278)&gt;=Thresholds!$C$7,"Tier 3 - High",IF(MAX(B278,E278)&gt;=Thresholds!$C$6,"Tier 2 - Moderate","Tier 1 - Low"))</f>
        <v>Tier 1 - Low</v>
      </c>
      <c r="K278" s="7" t="str">
        <f t="shared" si="2"/>
        <v>Low Volume - Setup Needed</v>
      </c>
      <c r="L278" s="10" t="str">
        <f t="shared" si="3"/>
        <v>Low/no B2B traffic yet - set a Business Price (5-10% below retail) and Quantity Discount tiers (e.g. 5+ units 5% off, 10+ units 10% off) to attract first B2B interest; add bulk/case-pack info to title and bullets</v>
      </c>
    </row>
    <row r="279" ht="14.25" customHeight="1">
      <c r="A279" s="10" t="s">
        <v>314</v>
      </c>
      <c r="B279" s="10">
        <v>1.0</v>
      </c>
      <c r="C279" s="10">
        <v>1.0</v>
      </c>
      <c r="D279" s="10">
        <v>0.0</v>
      </c>
      <c r="E279" s="10">
        <v>0.0</v>
      </c>
      <c r="F279" s="10">
        <v>0.0</v>
      </c>
      <c r="G279" s="10">
        <v>0.0</v>
      </c>
      <c r="H279" s="14">
        <v>1.0</v>
      </c>
      <c r="I279" s="7">
        <f t="shared" si="1"/>
        <v>-1</v>
      </c>
      <c r="J279" s="10" t="str">
        <f>IF(MAX(B279,E279)&gt;=Thresholds!$C$7,"Tier 3 - High",IF(MAX(B279,E279)&gt;=Thresholds!$C$6,"Tier 2 - Moderate","Tier 1 - Low"))</f>
        <v>Tier 1 - Low</v>
      </c>
      <c r="K279" s="7" t="str">
        <f t="shared" si="2"/>
        <v>Low Volume - Setup Needed</v>
      </c>
      <c r="L279" s="10" t="str">
        <f t="shared" si="3"/>
        <v>Low/no B2B traffic yet - set a Business Price (5-10% below retail) and Quantity Discount tiers (e.g. 5+ units 5% off, 10+ units 10% off) to attract first B2B interest; add bulk/case-pack info to title and bullets</v>
      </c>
    </row>
    <row r="280" ht="14.25" customHeight="1">
      <c r="A280" s="10" t="s">
        <v>315</v>
      </c>
      <c r="B280" s="10">
        <v>1.0</v>
      </c>
      <c r="C280" s="10">
        <v>3.0</v>
      </c>
      <c r="D280" s="10">
        <v>0.0</v>
      </c>
      <c r="E280" s="10">
        <v>1.0</v>
      </c>
      <c r="F280" s="10">
        <v>1.0</v>
      </c>
      <c r="G280" s="10">
        <v>0.0</v>
      </c>
      <c r="H280" s="14">
        <v>1.0</v>
      </c>
      <c r="I280" s="7">
        <f t="shared" si="1"/>
        <v>0</v>
      </c>
      <c r="J280" s="10" t="str">
        <f>IF(MAX(B280,E280)&gt;=Thresholds!$C$7,"Tier 3 - High",IF(MAX(B280,E280)&gt;=Thresholds!$C$6,"Tier 2 - Moderate","Tier 1 - Low"))</f>
        <v>Tier 1 - Low</v>
      </c>
      <c r="K280" s="7" t="str">
        <f t="shared" si="2"/>
        <v>Low Volume - Setup Needed</v>
      </c>
      <c r="L280" s="10" t="str">
        <f t="shared" si="3"/>
        <v>Low/no B2B traffic yet - set a Business Price (5-10% below retail) and Quantity Discount tiers (e.g. 5+ units 5% off, 10+ units 10% off) to attract first B2B interest; add bulk/case-pack info to title and bullets</v>
      </c>
    </row>
    <row r="281" ht="14.25" customHeight="1">
      <c r="A281" s="10" t="s">
        <v>316</v>
      </c>
      <c r="B281" s="10">
        <v>1.0</v>
      </c>
      <c r="C281" s="10">
        <v>1.0</v>
      </c>
      <c r="D281" s="10">
        <v>0.0</v>
      </c>
      <c r="E281" s="10">
        <v>1.0</v>
      </c>
      <c r="F281" s="10">
        <v>1.0</v>
      </c>
      <c r="G281" s="10">
        <v>0.0</v>
      </c>
      <c r="H281" s="14">
        <v>1.0</v>
      </c>
      <c r="I281" s="7">
        <f t="shared" si="1"/>
        <v>0</v>
      </c>
      <c r="J281" s="10" t="str">
        <f>IF(MAX(B281,E281)&gt;=Thresholds!$C$7,"Tier 3 - High",IF(MAX(B281,E281)&gt;=Thresholds!$C$6,"Tier 2 - Moderate","Tier 1 - Low"))</f>
        <v>Tier 1 - Low</v>
      </c>
      <c r="K281" s="7" t="str">
        <f t="shared" si="2"/>
        <v>Low Volume - Setup Needed</v>
      </c>
      <c r="L281" s="10" t="str">
        <f t="shared" si="3"/>
        <v>Low/no B2B traffic yet - set a Business Price (5-10% below retail) and Quantity Discount tiers (e.g. 5+ units 5% off, 10+ units 10% off) to attract first B2B interest; add bulk/case-pack info to title and bullets</v>
      </c>
    </row>
    <row r="282" ht="14.25" customHeight="1">
      <c r="A282" s="10" t="s">
        <v>317</v>
      </c>
      <c r="B282" s="10">
        <v>1.0</v>
      </c>
      <c r="C282" s="10">
        <v>1.0</v>
      </c>
      <c r="D282" s="10">
        <v>0.0</v>
      </c>
      <c r="E282" s="10">
        <v>1.0</v>
      </c>
      <c r="F282" s="10">
        <v>2.0</v>
      </c>
      <c r="G282" s="10">
        <v>0.0</v>
      </c>
      <c r="H282" s="14">
        <v>1.0</v>
      </c>
      <c r="I282" s="7">
        <f t="shared" si="1"/>
        <v>0</v>
      </c>
      <c r="J282" s="10" t="str">
        <f>IF(MAX(B282,E282)&gt;=Thresholds!$C$7,"Tier 3 - High",IF(MAX(B282,E282)&gt;=Thresholds!$C$6,"Tier 2 - Moderate","Tier 1 - Low"))</f>
        <v>Tier 1 - Low</v>
      </c>
      <c r="K282" s="7" t="str">
        <f t="shared" si="2"/>
        <v>Low Volume - Setup Needed</v>
      </c>
      <c r="L282" s="10" t="str">
        <f t="shared" si="3"/>
        <v>Low/no B2B traffic yet - set a Business Price (5-10% below retail) and Quantity Discount tiers (e.g. 5+ units 5% off, 10+ units 10% off) to attract first B2B interest; add bulk/case-pack info to title and bullets</v>
      </c>
    </row>
    <row r="283" ht="14.25" customHeight="1">
      <c r="A283" s="10" t="s">
        <v>318</v>
      </c>
      <c r="B283" s="10">
        <v>1.0</v>
      </c>
      <c r="C283" s="10">
        <v>2.0</v>
      </c>
      <c r="D283" s="10">
        <v>0.0</v>
      </c>
      <c r="E283" s="10">
        <v>1.0</v>
      </c>
      <c r="F283" s="10">
        <v>1.0</v>
      </c>
      <c r="G283" s="10">
        <v>0.0</v>
      </c>
      <c r="H283" s="14">
        <v>0.9254</v>
      </c>
      <c r="I283" s="7">
        <f t="shared" si="1"/>
        <v>0</v>
      </c>
      <c r="J283" s="10" t="str">
        <f>IF(MAX(B283,E283)&gt;=Thresholds!$C$7,"Tier 3 - High",IF(MAX(B283,E283)&gt;=Thresholds!$C$6,"Tier 2 - Moderate","Tier 1 - Low"))</f>
        <v>Tier 1 - Low</v>
      </c>
      <c r="K283" s="7" t="str">
        <f t="shared" si="2"/>
        <v>Low Volume - Setup Needed</v>
      </c>
      <c r="L283" s="10" t="str">
        <f t="shared" si="3"/>
        <v>Low/no B2B traffic yet - set a Business Price (5-10% below retail) and Quantity Discount tiers (e.g. 5+ units 5% off, 10+ units 10% off) to attract first B2B interest; add bulk/case-pack info to title and bullets</v>
      </c>
    </row>
    <row r="284" ht="14.25" customHeight="1">
      <c r="A284" s="10" t="s">
        <v>319</v>
      </c>
      <c r="B284" s="10">
        <v>1.0</v>
      </c>
      <c r="C284" s="10">
        <v>2.0</v>
      </c>
      <c r="D284" s="10">
        <v>0.0</v>
      </c>
      <c r="E284" s="10">
        <v>1.0</v>
      </c>
      <c r="F284" s="10">
        <v>1.0</v>
      </c>
      <c r="G284" s="10">
        <v>0.0</v>
      </c>
      <c r="H284" s="14">
        <v>0.9048</v>
      </c>
      <c r="I284" s="7">
        <f t="shared" si="1"/>
        <v>0</v>
      </c>
      <c r="J284" s="10" t="str">
        <f>IF(MAX(B284,E284)&gt;=Thresholds!$C$7,"Tier 3 - High",IF(MAX(B284,E284)&gt;=Thresholds!$C$6,"Tier 2 - Moderate","Tier 1 - Low"))</f>
        <v>Tier 1 - Low</v>
      </c>
      <c r="K284" s="7" t="str">
        <f t="shared" si="2"/>
        <v>Low Volume - Setup Needed</v>
      </c>
      <c r="L284" s="10" t="str">
        <f t="shared" si="3"/>
        <v>Low/no B2B traffic yet - set a Business Price (5-10% below retail) and Quantity Discount tiers (e.g. 5+ units 5% off, 10+ units 10% off) to attract first B2B interest; add bulk/case-pack info to title and bullets</v>
      </c>
    </row>
    <row r="285" ht="14.25" customHeight="1">
      <c r="A285" s="10" t="s">
        <v>320</v>
      </c>
      <c r="B285" s="10">
        <v>1.0</v>
      </c>
      <c r="C285" s="10">
        <v>1.0</v>
      </c>
      <c r="D285" s="10">
        <v>0.0</v>
      </c>
      <c r="E285" s="10">
        <v>1.0</v>
      </c>
      <c r="F285" s="10">
        <v>1.0</v>
      </c>
      <c r="G285" s="10">
        <v>0.0</v>
      </c>
      <c r="H285" s="14">
        <v>0.5833</v>
      </c>
      <c r="I285" s="7">
        <f t="shared" si="1"/>
        <v>0</v>
      </c>
      <c r="J285" s="10" t="str">
        <f>IF(MAX(B285,E285)&gt;=Thresholds!$C$7,"Tier 3 - High",IF(MAX(B285,E285)&gt;=Thresholds!$C$6,"Tier 2 - Moderate","Tier 1 - Low"))</f>
        <v>Tier 1 - Low</v>
      </c>
      <c r="K285" s="7" t="str">
        <f t="shared" si="2"/>
        <v>Low Volume - Setup Needed</v>
      </c>
      <c r="L285" s="10" t="str">
        <f t="shared" si="3"/>
        <v>Low/no B2B traffic yet - set a Business Price (5-10% below retail) and Quantity Discount tiers (e.g. 5+ units 5% off, 10+ units 10% off) to attract first B2B interest; add bulk/case-pack info to title and bullets</v>
      </c>
    </row>
    <row r="286" ht="14.25" customHeight="1">
      <c r="A286" s="10" t="s">
        <v>321</v>
      </c>
      <c r="B286" s="10">
        <v>1.0</v>
      </c>
      <c r="C286" s="10">
        <v>1.0</v>
      </c>
      <c r="D286" s="10">
        <v>0.0</v>
      </c>
      <c r="E286" s="10">
        <v>1.0</v>
      </c>
      <c r="F286" s="10">
        <v>2.0</v>
      </c>
      <c r="G286" s="10">
        <v>0.0</v>
      </c>
      <c r="H286" s="14">
        <v>1.0</v>
      </c>
      <c r="I286" s="7">
        <f t="shared" si="1"/>
        <v>0</v>
      </c>
      <c r="J286" s="10" t="str">
        <f>IF(MAX(B286,E286)&gt;=Thresholds!$C$7,"Tier 3 - High",IF(MAX(B286,E286)&gt;=Thresholds!$C$6,"Tier 2 - Moderate","Tier 1 - Low"))</f>
        <v>Tier 1 - Low</v>
      </c>
      <c r="K286" s="7" t="str">
        <f t="shared" si="2"/>
        <v>Low Volume - Setup Needed</v>
      </c>
      <c r="L286" s="10" t="str">
        <f t="shared" si="3"/>
        <v>Low/no B2B traffic yet - set a Business Price (5-10% below retail) and Quantity Discount tiers (e.g. 5+ units 5% off, 10+ units 10% off) to attract first B2B interest; add bulk/case-pack info to title and bullets</v>
      </c>
    </row>
    <row r="287" ht="14.25" customHeight="1">
      <c r="A287" s="10" t="s">
        <v>322</v>
      </c>
      <c r="B287" s="10">
        <v>1.0</v>
      </c>
      <c r="C287" s="10">
        <v>1.0</v>
      </c>
      <c r="D287" s="10">
        <v>0.0</v>
      </c>
      <c r="E287" s="10">
        <v>1.0</v>
      </c>
      <c r="F287" s="10">
        <v>1.0</v>
      </c>
      <c r="G287" s="10">
        <v>0.0</v>
      </c>
      <c r="H287" s="14">
        <v>0.9474</v>
      </c>
      <c r="I287" s="7">
        <f t="shared" si="1"/>
        <v>0</v>
      </c>
      <c r="J287" s="10" t="str">
        <f>IF(MAX(B287,E287)&gt;=Thresholds!$C$7,"Tier 3 - High",IF(MAX(B287,E287)&gt;=Thresholds!$C$6,"Tier 2 - Moderate","Tier 1 - Low"))</f>
        <v>Tier 1 - Low</v>
      </c>
      <c r="K287" s="7" t="str">
        <f t="shared" si="2"/>
        <v>Low Volume - Setup Needed</v>
      </c>
      <c r="L287" s="10" t="str">
        <f t="shared" si="3"/>
        <v>Low/no B2B traffic yet - set a Business Price (5-10% below retail) and Quantity Discount tiers (e.g. 5+ units 5% off, 10+ units 10% off) to attract first B2B interest; add bulk/case-pack info to title and bullets</v>
      </c>
    </row>
    <row r="288" ht="14.25" customHeight="1">
      <c r="A288" s="10" t="s">
        <v>323</v>
      </c>
      <c r="B288" s="10">
        <v>1.0</v>
      </c>
      <c r="C288" s="10">
        <v>1.0</v>
      </c>
      <c r="D288" s="10">
        <v>0.0</v>
      </c>
      <c r="E288" s="10">
        <v>1.0</v>
      </c>
      <c r="F288" s="10">
        <v>1.0</v>
      </c>
      <c r="G288" s="10">
        <v>0.0</v>
      </c>
      <c r="H288" s="14">
        <v>0.9643</v>
      </c>
      <c r="I288" s="7">
        <f t="shared" si="1"/>
        <v>0</v>
      </c>
      <c r="J288" s="10" t="str">
        <f>IF(MAX(B288,E288)&gt;=Thresholds!$C$7,"Tier 3 - High",IF(MAX(B288,E288)&gt;=Thresholds!$C$6,"Tier 2 - Moderate","Tier 1 - Low"))</f>
        <v>Tier 1 - Low</v>
      </c>
      <c r="K288" s="7" t="str">
        <f t="shared" si="2"/>
        <v>Low Volume - Setup Needed</v>
      </c>
      <c r="L288" s="10" t="str">
        <f t="shared" si="3"/>
        <v>Low/no B2B traffic yet - set a Business Price (5-10% below retail) and Quantity Discount tiers (e.g. 5+ units 5% off, 10+ units 10% off) to attract first B2B interest; add bulk/case-pack info to title and bullets</v>
      </c>
    </row>
    <row r="289" ht="14.25" customHeight="1">
      <c r="A289" s="10" t="s">
        <v>324</v>
      </c>
      <c r="B289" s="10">
        <v>1.0</v>
      </c>
      <c r="C289" s="10">
        <v>1.0</v>
      </c>
      <c r="D289" s="10">
        <v>0.0</v>
      </c>
      <c r="E289" s="10">
        <v>1.0</v>
      </c>
      <c r="F289" s="10">
        <v>1.0</v>
      </c>
      <c r="G289" s="10">
        <v>0.0</v>
      </c>
      <c r="H289" s="14">
        <v>1.0</v>
      </c>
      <c r="I289" s="7">
        <f t="shared" si="1"/>
        <v>0</v>
      </c>
      <c r="J289" s="10" t="str">
        <f>IF(MAX(B289,E289)&gt;=Thresholds!$C$7,"Tier 3 - High",IF(MAX(B289,E289)&gt;=Thresholds!$C$6,"Tier 2 - Moderate","Tier 1 - Low"))</f>
        <v>Tier 1 - Low</v>
      </c>
      <c r="K289" s="7" t="str">
        <f t="shared" si="2"/>
        <v>Low Volume - Setup Needed</v>
      </c>
      <c r="L289" s="10" t="str">
        <f t="shared" si="3"/>
        <v>Low/no B2B traffic yet - set a Business Price (5-10% below retail) and Quantity Discount tiers (e.g. 5+ units 5% off, 10+ units 10% off) to attract first B2B interest; add bulk/case-pack info to title and bullets</v>
      </c>
    </row>
    <row r="290" ht="14.25" customHeight="1">
      <c r="A290" s="10" t="s">
        <v>325</v>
      </c>
      <c r="B290" s="10">
        <v>1.0</v>
      </c>
      <c r="C290" s="10">
        <v>3.0</v>
      </c>
      <c r="D290" s="10">
        <v>0.0</v>
      </c>
      <c r="E290" s="10">
        <v>1.0</v>
      </c>
      <c r="F290" s="10">
        <v>1.0</v>
      </c>
      <c r="G290" s="10">
        <v>0.0</v>
      </c>
      <c r="H290" s="14">
        <v>1.0</v>
      </c>
      <c r="I290" s="7">
        <f t="shared" si="1"/>
        <v>0</v>
      </c>
      <c r="J290" s="10" t="str">
        <f>IF(MAX(B290,E290)&gt;=Thresholds!$C$7,"Tier 3 - High",IF(MAX(B290,E290)&gt;=Thresholds!$C$6,"Tier 2 - Moderate","Tier 1 - Low"))</f>
        <v>Tier 1 - Low</v>
      </c>
      <c r="K290" s="7" t="str">
        <f t="shared" si="2"/>
        <v>Low Volume - Setup Needed</v>
      </c>
      <c r="L290" s="10" t="str">
        <f t="shared" si="3"/>
        <v>Low/no B2B traffic yet - set a Business Price (5-10% below retail) and Quantity Discount tiers (e.g. 5+ units 5% off, 10+ units 10% off) to attract first B2B interest; add bulk/case-pack info to title and bullets</v>
      </c>
    </row>
    <row r="291" ht="14.25" customHeight="1">
      <c r="A291" s="10" t="s">
        <v>326</v>
      </c>
      <c r="B291" s="10">
        <v>1.0</v>
      </c>
      <c r="C291" s="10">
        <v>3.0</v>
      </c>
      <c r="D291" s="10">
        <v>0.0</v>
      </c>
      <c r="E291" s="10">
        <v>1.0</v>
      </c>
      <c r="F291" s="10">
        <v>1.0</v>
      </c>
      <c r="G291" s="10">
        <v>0.0</v>
      </c>
      <c r="H291" s="14">
        <v>0.1429</v>
      </c>
      <c r="I291" s="7">
        <f t="shared" si="1"/>
        <v>0</v>
      </c>
      <c r="J291" s="10" t="str">
        <f>IF(MAX(B291,E291)&gt;=Thresholds!$C$7,"Tier 3 - High",IF(MAX(B291,E291)&gt;=Thresholds!$C$6,"Tier 2 - Moderate","Tier 1 - Low"))</f>
        <v>Tier 1 - Low</v>
      </c>
      <c r="K291" s="7" t="str">
        <f t="shared" si="2"/>
        <v>Low Volume - Setup Needed</v>
      </c>
      <c r="L291" s="10" t="str">
        <f t="shared" si="3"/>
        <v>Low/no B2B traffic yet - set a Business Price (5-10% below retail) and Quantity Discount tiers (e.g. 5+ units 5% off, 10+ units 10% off) to attract first B2B interest; add bulk/case-pack info to title and bullets</v>
      </c>
    </row>
    <row r="292" ht="14.25" customHeight="1">
      <c r="A292" s="10" t="s">
        <v>327</v>
      </c>
      <c r="B292" s="10">
        <v>1.0</v>
      </c>
      <c r="C292" s="10">
        <v>1.0</v>
      </c>
      <c r="D292" s="10">
        <v>0.0</v>
      </c>
      <c r="E292" s="10">
        <v>1.0</v>
      </c>
      <c r="F292" s="10">
        <v>5.0</v>
      </c>
      <c r="G292" s="10">
        <v>0.0</v>
      </c>
      <c r="H292" s="14">
        <v>1.0</v>
      </c>
      <c r="I292" s="7">
        <f t="shared" si="1"/>
        <v>0</v>
      </c>
      <c r="J292" s="10" t="str">
        <f>IF(MAX(B292,E292)&gt;=Thresholds!$C$7,"Tier 3 - High",IF(MAX(B292,E292)&gt;=Thresholds!$C$6,"Tier 2 - Moderate","Tier 1 - Low"))</f>
        <v>Tier 1 - Low</v>
      </c>
      <c r="K292" s="7" t="str">
        <f t="shared" si="2"/>
        <v>Low Volume - Setup Needed</v>
      </c>
      <c r="L292" s="10" t="str">
        <f t="shared" si="3"/>
        <v>Low/no B2B traffic yet - set a Business Price (5-10% below retail) and Quantity Discount tiers (e.g. 5+ units 5% off, 10+ units 10% off) to attract first B2B interest; add bulk/case-pack info to title and bullets</v>
      </c>
    </row>
    <row r="293" ht="14.25" customHeight="1">
      <c r="A293" s="10" t="s">
        <v>328</v>
      </c>
      <c r="B293" s="10">
        <v>2.0</v>
      </c>
      <c r="C293" s="10">
        <v>2.0</v>
      </c>
      <c r="D293" s="10">
        <v>0.0</v>
      </c>
      <c r="E293" s="10">
        <v>2.0</v>
      </c>
      <c r="F293" s="10">
        <v>2.0</v>
      </c>
      <c r="G293" s="10">
        <v>0.0</v>
      </c>
      <c r="H293" s="14">
        <v>0.906</v>
      </c>
      <c r="I293" s="7">
        <f t="shared" si="1"/>
        <v>0</v>
      </c>
      <c r="J293" s="10" t="str">
        <f>IF(MAX(B293,E293)&gt;=Thresholds!$C$7,"Tier 3 - High",IF(MAX(B293,E293)&gt;=Thresholds!$C$6,"Tier 2 - Moderate","Tier 1 - Low"))</f>
        <v>Tier 1 - Low</v>
      </c>
      <c r="K293" s="7" t="str">
        <f t="shared" si="2"/>
        <v>Low Volume - Setup Needed</v>
      </c>
      <c r="L293" s="10" t="str">
        <f t="shared" si="3"/>
        <v>Low/no B2B traffic yet - set a Business Price (5-10% below retail) and Quantity Discount tiers (e.g. 5+ units 5% off, 10+ units 10% off) to attract first B2B interest; add bulk/case-pack info to title and bullets</v>
      </c>
    </row>
    <row r="294" ht="14.25" customHeight="1">
      <c r="A294" s="10" t="s">
        <v>329</v>
      </c>
      <c r="B294" s="10">
        <v>1.0</v>
      </c>
      <c r="C294" s="10">
        <v>3.0</v>
      </c>
      <c r="D294" s="10">
        <v>0.0</v>
      </c>
      <c r="E294" s="10">
        <v>1.0</v>
      </c>
      <c r="F294" s="10">
        <v>1.0</v>
      </c>
      <c r="G294" s="10">
        <v>0.0</v>
      </c>
      <c r="H294" s="14">
        <v>0.9565</v>
      </c>
      <c r="I294" s="7">
        <f t="shared" si="1"/>
        <v>0</v>
      </c>
      <c r="J294" s="10" t="str">
        <f>IF(MAX(B294,E294)&gt;=Thresholds!$C$7,"Tier 3 - High",IF(MAX(B294,E294)&gt;=Thresholds!$C$6,"Tier 2 - Moderate","Tier 1 - Low"))</f>
        <v>Tier 1 - Low</v>
      </c>
      <c r="K294" s="7" t="str">
        <f t="shared" si="2"/>
        <v>Low Volume - Setup Needed</v>
      </c>
      <c r="L294" s="10" t="str">
        <f t="shared" si="3"/>
        <v>Low/no B2B traffic yet - set a Business Price (5-10% below retail) and Quantity Discount tiers (e.g. 5+ units 5% off, 10+ units 10% off) to attract first B2B interest; add bulk/case-pack info to title and bullets</v>
      </c>
    </row>
    <row r="295" ht="14.25" customHeight="1">
      <c r="A295" s="10" t="s">
        <v>330</v>
      </c>
      <c r="B295" s="10">
        <v>1.0</v>
      </c>
      <c r="C295" s="10">
        <v>1.0</v>
      </c>
      <c r="D295" s="10">
        <v>0.0</v>
      </c>
      <c r="E295" s="10">
        <v>1.0</v>
      </c>
      <c r="F295" s="10">
        <v>8.0</v>
      </c>
      <c r="G295" s="10">
        <v>0.0</v>
      </c>
      <c r="H295" s="14">
        <v>1.0</v>
      </c>
      <c r="I295" s="7">
        <f t="shared" si="1"/>
        <v>0</v>
      </c>
      <c r="J295" s="10" t="str">
        <f>IF(MAX(B295,E295)&gt;=Thresholds!$C$7,"Tier 3 - High",IF(MAX(B295,E295)&gt;=Thresholds!$C$6,"Tier 2 - Moderate","Tier 1 - Low"))</f>
        <v>Tier 1 - Low</v>
      </c>
      <c r="K295" s="7" t="str">
        <f t="shared" si="2"/>
        <v>Low Volume - Setup Needed</v>
      </c>
      <c r="L295" s="10" t="str">
        <f t="shared" si="3"/>
        <v>Low/no B2B traffic yet - set a Business Price (5-10% below retail) and Quantity Discount tiers (e.g. 5+ units 5% off, 10+ units 10% off) to attract first B2B interest; add bulk/case-pack info to title and bullets</v>
      </c>
    </row>
    <row r="296" ht="14.25" customHeight="1">
      <c r="A296" s="10" t="s">
        <v>331</v>
      </c>
      <c r="B296" s="10">
        <v>1.0</v>
      </c>
      <c r="C296" s="10">
        <v>2.0</v>
      </c>
      <c r="D296" s="10">
        <v>0.0</v>
      </c>
      <c r="E296" s="10">
        <v>1.0</v>
      </c>
      <c r="F296" s="10">
        <v>1.0</v>
      </c>
      <c r="G296" s="10">
        <v>0.0</v>
      </c>
      <c r="H296" s="14">
        <v>1.0</v>
      </c>
      <c r="I296" s="7">
        <f t="shared" si="1"/>
        <v>0</v>
      </c>
      <c r="J296" s="10" t="str">
        <f>IF(MAX(B296,E296)&gt;=Thresholds!$C$7,"Tier 3 - High",IF(MAX(B296,E296)&gt;=Thresholds!$C$6,"Tier 2 - Moderate","Tier 1 - Low"))</f>
        <v>Tier 1 - Low</v>
      </c>
      <c r="K296" s="7" t="str">
        <f t="shared" si="2"/>
        <v>Low Volume - Setup Needed</v>
      </c>
      <c r="L296" s="10" t="str">
        <f t="shared" si="3"/>
        <v>Low/no B2B traffic yet - set a Business Price (5-10% below retail) and Quantity Discount tiers (e.g. 5+ units 5% off, 10+ units 10% off) to attract first B2B interest; add bulk/case-pack info to title and bullets</v>
      </c>
    </row>
    <row r="297" ht="14.25" customHeight="1">
      <c r="A297" s="10" t="s">
        <v>332</v>
      </c>
      <c r="B297" s="10">
        <v>1.0</v>
      </c>
      <c r="C297" s="10">
        <v>1.0</v>
      </c>
      <c r="D297" s="10">
        <v>1.0</v>
      </c>
      <c r="E297" s="10">
        <v>1.0</v>
      </c>
      <c r="F297" s="10">
        <v>1.0</v>
      </c>
      <c r="G297" s="10">
        <v>0.0</v>
      </c>
      <c r="H297" s="14">
        <v>1.0</v>
      </c>
      <c r="I297" s="7">
        <f t="shared" si="1"/>
        <v>0</v>
      </c>
      <c r="J297" s="10" t="str">
        <f>IF(MAX(B297,E297)&gt;=Thresholds!$C$7,"Tier 3 - High",IF(MAX(B297,E297)&gt;=Thresholds!$C$6,"Tier 2 - Moderate","Tier 1 - Low"))</f>
        <v>Tier 1 - Low</v>
      </c>
      <c r="K297" s="7" t="str">
        <f t="shared" si="2"/>
        <v>Low Volume - Setup Needed</v>
      </c>
      <c r="L297" s="10" t="str">
        <f t="shared" si="3"/>
        <v>Low/no B2B traffic yet - set a Business Price (5-10% below retail) and Quantity Discount tiers (e.g. 5+ units 5% off, 10+ units 10% off) to attract first B2B interest; add bulk/case-pack info to title and bullets</v>
      </c>
    </row>
    <row r="298" ht="14.25" customHeight="1">
      <c r="A298" s="10" t="s">
        <v>333</v>
      </c>
      <c r="B298" s="10">
        <v>1.0</v>
      </c>
      <c r="C298" s="10">
        <v>1.0</v>
      </c>
      <c r="D298" s="10">
        <v>0.0</v>
      </c>
      <c r="E298" s="10">
        <v>1.0</v>
      </c>
      <c r="F298" s="10">
        <v>1.0</v>
      </c>
      <c r="G298" s="10">
        <v>0.0</v>
      </c>
      <c r="H298" s="14">
        <v>1.0</v>
      </c>
      <c r="I298" s="7">
        <f t="shared" si="1"/>
        <v>0</v>
      </c>
      <c r="J298" s="10" t="str">
        <f>IF(MAX(B298,E298)&gt;=Thresholds!$C$7,"Tier 3 - High",IF(MAX(B298,E298)&gt;=Thresholds!$C$6,"Tier 2 - Moderate","Tier 1 - Low"))</f>
        <v>Tier 1 - Low</v>
      </c>
      <c r="K298" s="7" t="str">
        <f t="shared" si="2"/>
        <v>Low Volume - Setup Needed</v>
      </c>
      <c r="L298" s="10" t="str">
        <f t="shared" si="3"/>
        <v>Low/no B2B traffic yet - set a Business Price (5-10% below retail) and Quantity Discount tiers (e.g. 5+ units 5% off, 10+ units 10% off) to attract first B2B interest; add bulk/case-pack info to title and bullets</v>
      </c>
    </row>
    <row r="299" ht="14.25" customHeight="1">
      <c r="A299" s="10" t="s">
        <v>334</v>
      </c>
      <c r="B299" s="10">
        <v>1.0</v>
      </c>
      <c r="C299" s="10">
        <v>1.0</v>
      </c>
      <c r="D299" s="10">
        <v>0.0</v>
      </c>
      <c r="E299" s="10">
        <v>1.0</v>
      </c>
      <c r="F299" s="10">
        <v>3.0</v>
      </c>
      <c r="G299" s="10">
        <v>0.0</v>
      </c>
      <c r="H299" s="14">
        <v>1.0</v>
      </c>
      <c r="I299" s="7">
        <f t="shared" si="1"/>
        <v>0</v>
      </c>
      <c r="J299" s="10" t="str">
        <f>IF(MAX(B299,E299)&gt;=Thresholds!$C$7,"Tier 3 - High",IF(MAX(B299,E299)&gt;=Thresholds!$C$6,"Tier 2 - Moderate","Tier 1 - Low"))</f>
        <v>Tier 1 - Low</v>
      </c>
      <c r="K299" s="7" t="str">
        <f t="shared" si="2"/>
        <v>Low Volume - Setup Needed</v>
      </c>
      <c r="L299" s="10" t="str">
        <f t="shared" si="3"/>
        <v>Low/no B2B traffic yet - set a Business Price (5-10% below retail) and Quantity Discount tiers (e.g. 5+ units 5% off, 10+ units 10% off) to attract first B2B interest; add bulk/case-pack info to title and bullets</v>
      </c>
    </row>
    <row r="300" ht="14.25" customHeight="1">
      <c r="A300" s="10" t="s">
        <v>335</v>
      </c>
      <c r="B300" s="10">
        <v>1.0</v>
      </c>
      <c r="C300" s="10">
        <v>1.0</v>
      </c>
      <c r="D300" s="10">
        <v>0.0</v>
      </c>
      <c r="E300" s="10">
        <v>1.0</v>
      </c>
      <c r="F300" s="10">
        <v>1.0</v>
      </c>
      <c r="G300" s="10">
        <v>0.0</v>
      </c>
      <c r="H300" s="14">
        <v>0.9697</v>
      </c>
      <c r="I300" s="7">
        <f t="shared" si="1"/>
        <v>0</v>
      </c>
      <c r="J300" s="10" t="str">
        <f>IF(MAX(B300,E300)&gt;=Thresholds!$C$7,"Tier 3 - High",IF(MAX(B300,E300)&gt;=Thresholds!$C$6,"Tier 2 - Moderate","Tier 1 - Low"))</f>
        <v>Tier 1 - Low</v>
      </c>
      <c r="K300" s="7" t="str">
        <f t="shared" si="2"/>
        <v>Low Volume - Setup Needed</v>
      </c>
      <c r="L300" s="10" t="str">
        <f t="shared" si="3"/>
        <v>Low/no B2B traffic yet - set a Business Price (5-10% below retail) and Quantity Discount tiers (e.g. 5+ units 5% off, 10+ units 10% off) to attract first B2B interest; add bulk/case-pack info to title and bullets</v>
      </c>
    </row>
    <row r="301" ht="14.25" customHeight="1">
      <c r="A301" s="10" t="s">
        <v>336</v>
      </c>
      <c r="B301" s="10">
        <v>1.0</v>
      </c>
      <c r="C301" s="10">
        <v>1.0</v>
      </c>
      <c r="D301" s="10">
        <v>0.0</v>
      </c>
      <c r="E301" s="10">
        <v>1.0</v>
      </c>
      <c r="F301" s="10">
        <v>2.0</v>
      </c>
      <c r="G301" s="10">
        <v>0.0</v>
      </c>
      <c r="H301" s="14">
        <v>1.0</v>
      </c>
      <c r="I301" s="7">
        <f t="shared" si="1"/>
        <v>0</v>
      </c>
      <c r="J301" s="10" t="str">
        <f>IF(MAX(B301,E301)&gt;=Thresholds!$C$7,"Tier 3 - High",IF(MAX(B301,E301)&gt;=Thresholds!$C$6,"Tier 2 - Moderate","Tier 1 - Low"))</f>
        <v>Tier 1 - Low</v>
      </c>
      <c r="K301" s="7" t="str">
        <f t="shared" si="2"/>
        <v>Low Volume - Setup Needed</v>
      </c>
      <c r="L301" s="10" t="str">
        <f t="shared" si="3"/>
        <v>Low/no B2B traffic yet - set a Business Price (5-10% below retail) and Quantity Discount tiers (e.g. 5+ units 5% off, 10+ units 10% off) to attract first B2B interest; add bulk/case-pack info to title and bullets</v>
      </c>
    </row>
    <row r="302" ht="14.25" customHeight="1">
      <c r="A302" s="10" t="s">
        <v>337</v>
      </c>
      <c r="B302" s="10">
        <v>1.0</v>
      </c>
      <c r="C302" s="10">
        <v>1.0</v>
      </c>
      <c r="D302" s="10">
        <v>0.0</v>
      </c>
      <c r="E302" s="10">
        <v>1.0</v>
      </c>
      <c r="F302" s="10">
        <v>1.0</v>
      </c>
      <c r="G302" s="10">
        <v>0.0</v>
      </c>
      <c r="H302" s="14">
        <v>0.873</v>
      </c>
      <c r="I302" s="7">
        <f t="shared" si="1"/>
        <v>0</v>
      </c>
      <c r="J302" s="10" t="str">
        <f>IF(MAX(B302,E302)&gt;=Thresholds!$C$7,"Tier 3 - High",IF(MAX(B302,E302)&gt;=Thresholds!$C$6,"Tier 2 - Moderate","Tier 1 - Low"))</f>
        <v>Tier 1 - Low</v>
      </c>
      <c r="K302" s="7" t="str">
        <f t="shared" si="2"/>
        <v>Low Volume - Setup Needed</v>
      </c>
      <c r="L302" s="10" t="str">
        <f t="shared" si="3"/>
        <v>Low/no B2B traffic yet - set a Business Price (5-10% below retail) and Quantity Discount tiers (e.g. 5+ units 5% off, 10+ units 10% off) to attract first B2B interest; add bulk/case-pack info to title and bullets</v>
      </c>
    </row>
    <row r="303" ht="14.25" customHeight="1">
      <c r="A303" s="10" t="s">
        <v>338</v>
      </c>
      <c r="B303" s="10">
        <v>1.0</v>
      </c>
      <c r="C303" s="10">
        <v>1.0</v>
      </c>
      <c r="D303" s="10">
        <v>1.0</v>
      </c>
      <c r="E303" s="10">
        <v>1.0</v>
      </c>
      <c r="F303" s="10">
        <v>1.0</v>
      </c>
      <c r="G303" s="10">
        <v>0.0</v>
      </c>
      <c r="H303" s="14">
        <v>0.9469</v>
      </c>
      <c r="I303" s="7">
        <f t="shared" si="1"/>
        <v>0</v>
      </c>
      <c r="J303" s="10" t="str">
        <f>IF(MAX(B303,E303)&gt;=Thresholds!$C$7,"Tier 3 - High",IF(MAX(B303,E303)&gt;=Thresholds!$C$6,"Tier 2 - Moderate","Tier 1 - Low"))</f>
        <v>Tier 1 - Low</v>
      </c>
      <c r="K303" s="7" t="str">
        <f t="shared" si="2"/>
        <v>Low Volume - Setup Needed</v>
      </c>
      <c r="L303" s="10" t="str">
        <f t="shared" si="3"/>
        <v>Low/no B2B traffic yet - set a Business Price (5-10% below retail) and Quantity Discount tiers (e.g. 5+ units 5% off, 10+ units 10% off) to attract first B2B interest; add bulk/case-pack info to title and bullets</v>
      </c>
    </row>
    <row r="304" ht="14.25" customHeight="1">
      <c r="A304" s="10" t="s">
        <v>339</v>
      </c>
      <c r="B304" s="10">
        <v>2.0</v>
      </c>
      <c r="C304" s="10">
        <v>4.0</v>
      </c>
      <c r="D304" s="10">
        <v>0.0</v>
      </c>
      <c r="E304" s="10">
        <v>2.0</v>
      </c>
      <c r="F304" s="10">
        <v>2.0</v>
      </c>
      <c r="G304" s="10">
        <v>0.0</v>
      </c>
      <c r="H304" s="14">
        <v>0.992</v>
      </c>
      <c r="I304" s="7">
        <f t="shared" si="1"/>
        <v>0</v>
      </c>
      <c r="J304" s="10" t="str">
        <f>IF(MAX(B304,E304)&gt;=Thresholds!$C$7,"Tier 3 - High",IF(MAX(B304,E304)&gt;=Thresholds!$C$6,"Tier 2 - Moderate","Tier 1 - Low"))</f>
        <v>Tier 1 - Low</v>
      </c>
      <c r="K304" s="7" t="str">
        <f t="shared" si="2"/>
        <v>Low Volume - Setup Needed</v>
      </c>
      <c r="L304" s="10" t="str">
        <f t="shared" si="3"/>
        <v>Low/no B2B traffic yet - set a Business Price (5-10% below retail) and Quantity Discount tiers (e.g. 5+ units 5% off, 10+ units 10% off) to attract first B2B interest; add bulk/case-pack info to title and bullets</v>
      </c>
    </row>
    <row r="305" ht="14.25" customHeight="1">
      <c r="A305" s="10" t="s">
        <v>340</v>
      </c>
      <c r="B305" s="10">
        <v>1.0</v>
      </c>
      <c r="C305" s="10">
        <v>1.0</v>
      </c>
      <c r="D305" s="10">
        <v>0.0</v>
      </c>
      <c r="E305" s="10">
        <v>1.0</v>
      </c>
      <c r="F305" s="10">
        <v>1.0</v>
      </c>
      <c r="G305" s="10">
        <v>0.0</v>
      </c>
      <c r="H305" s="14">
        <v>1.0</v>
      </c>
      <c r="I305" s="7">
        <f t="shared" si="1"/>
        <v>0</v>
      </c>
      <c r="J305" s="10" t="str">
        <f>IF(MAX(B305,E305)&gt;=Thresholds!$C$7,"Tier 3 - High",IF(MAX(B305,E305)&gt;=Thresholds!$C$6,"Tier 2 - Moderate","Tier 1 - Low"))</f>
        <v>Tier 1 - Low</v>
      </c>
      <c r="K305" s="7" t="str">
        <f t="shared" si="2"/>
        <v>Low Volume - Setup Needed</v>
      </c>
      <c r="L305" s="10" t="str">
        <f t="shared" si="3"/>
        <v>Low/no B2B traffic yet - set a Business Price (5-10% below retail) and Quantity Discount tiers (e.g. 5+ units 5% off, 10+ units 10% off) to attract first B2B interest; add bulk/case-pack info to title and bullets</v>
      </c>
    </row>
    <row r="306" ht="14.25" customHeight="1">
      <c r="A306" s="10" t="s">
        <v>341</v>
      </c>
      <c r="B306" s="10">
        <v>1.0</v>
      </c>
      <c r="C306" s="10">
        <v>1.0</v>
      </c>
      <c r="D306" s="10">
        <v>0.0</v>
      </c>
      <c r="E306" s="10">
        <v>1.0</v>
      </c>
      <c r="F306" s="10">
        <v>1.0</v>
      </c>
      <c r="G306" s="10">
        <v>0.0</v>
      </c>
      <c r="H306" s="14">
        <v>0.9722</v>
      </c>
      <c r="I306" s="7">
        <f t="shared" si="1"/>
        <v>0</v>
      </c>
      <c r="J306" s="10" t="str">
        <f>IF(MAX(B306,E306)&gt;=Thresholds!$C$7,"Tier 3 - High",IF(MAX(B306,E306)&gt;=Thresholds!$C$6,"Tier 2 - Moderate","Tier 1 - Low"))</f>
        <v>Tier 1 - Low</v>
      </c>
      <c r="K306" s="7" t="str">
        <f t="shared" si="2"/>
        <v>Low Volume - Setup Needed</v>
      </c>
      <c r="L306" s="10" t="str">
        <f t="shared" si="3"/>
        <v>Low/no B2B traffic yet - set a Business Price (5-10% below retail) and Quantity Discount tiers (e.g. 5+ units 5% off, 10+ units 10% off) to attract first B2B interest; add bulk/case-pack info to title and bullets</v>
      </c>
    </row>
    <row r="307" ht="14.25" customHeight="1">
      <c r="A307" s="10" t="s">
        <v>342</v>
      </c>
      <c r="B307" s="10">
        <v>1.0</v>
      </c>
      <c r="C307" s="10">
        <v>1.0</v>
      </c>
      <c r="D307" s="10">
        <v>0.0</v>
      </c>
      <c r="E307" s="10">
        <v>1.0</v>
      </c>
      <c r="F307" s="10">
        <v>1.0</v>
      </c>
      <c r="G307" s="10">
        <v>0.0</v>
      </c>
      <c r="H307" s="14">
        <v>1.0</v>
      </c>
      <c r="I307" s="7">
        <f t="shared" si="1"/>
        <v>0</v>
      </c>
      <c r="J307" s="10" t="str">
        <f>IF(MAX(B307,E307)&gt;=Thresholds!$C$7,"Tier 3 - High",IF(MAX(B307,E307)&gt;=Thresholds!$C$6,"Tier 2 - Moderate","Tier 1 - Low"))</f>
        <v>Tier 1 - Low</v>
      </c>
      <c r="K307" s="7" t="str">
        <f t="shared" si="2"/>
        <v>Low Volume - Setup Needed</v>
      </c>
      <c r="L307" s="10" t="str">
        <f t="shared" si="3"/>
        <v>Low/no B2B traffic yet - set a Business Price (5-10% below retail) and Quantity Discount tiers (e.g. 5+ units 5% off, 10+ units 10% off) to attract first B2B interest; add bulk/case-pack info to title and bullets</v>
      </c>
    </row>
    <row r="308" ht="14.25" customHeight="1">
      <c r="A308" s="10" t="s">
        <v>343</v>
      </c>
      <c r="B308" s="10">
        <v>1.0</v>
      </c>
      <c r="C308" s="10">
        <v>1.0</v>
      </c>
      <c r="D308" s="10">
        <v>0.0</v>
      </c>
      <c r="E308" s="10">
        <v>1.0</v>
      </c>
      <c r="F308" s="10">
        <v>1.0</v>
      </c>
      <c r="G308" s="10">
        <v>0.0</v>
      </c>
      <c r="H308" s="14">
        <v>0.9474</v>
      </c>
      <c r="I308" s="7">
        <f t="shared" si="1"/>
        <v>0</v>
      </c>
      <c r="J308" s="10" t="str">
        <f>IF(MAX(B308,E308)&gt;=Thresholds!$C$7,"Tier 3 - High",IF(MAX(B308,E308)&gt;=Thresholds!$C$6,"Tier 2 - Moderate","Tier 1 - Low"))</f>
        <v>Tier 1 - Low</v>
      </c>
      <c r="K308" s="7" t="str">
        <f t="shared" si="2"/>
        <v>Low Volume - Setup Needed</v>
      </c>
      <c r="L308" s="10" t="str">
        <f t="shared" si="3"/>
        <v>Low/no B2B traffic yet - set a Business Price (5-10% below retail) and Quantity Discount tiers (e.g. 5+ units 5% off, 10+ units 10% off) to attract first B2B interest; add bulk/case-pack info to title and bullets</v>
      </c>
    </row>
    <row r="309" ht="14.25" customHeight="1">
      <c r="A309" s="10" t="s">
        <v>344</v>
      </c>
      <c r="B309" s="10">
        <v>1.0</v>
      </c>
      <c r="C309" s="10">
        <v>1.0</v>
      </c>
      <c r="D309" s="10">
        <v>0.0</v>
      </c>
      <c r="E309" s="10">
        <v>1.0</v>
      </c>
      <c r="F309" s="10">
        <v>1.0</v>
      </c>
      <c r="G309" s="10">
        <v>0.0</v>
      </c>
      <c r="H309" s="14">
        <v>1.0</v>
      </c>
      <c r="I309" s="7">
        <f t="shared" si="1"/>
        <v>0</v>
      </c>
      <c r="J309" s="10" t="str">
        <f>IF(MAX(B309,E309)&gt;=Thresholds!$C$7,"Tier 3 - High",IF(MAX(B309,E309)&gt;=Thresholds!$C$6,"Tier 2 - Moderate","Tier 1 - Low"))</f>
        <v>Tier 1 - Low</v>
      </c>
      <c r="K309" s="7" t="str">
        <f t="shared" si="2"/>
        <v>Low Volume - Setup Needed</v>
      </c>
      <c r="L309" s="10" t="str">
        <f t="shared" si="3"/>
        <v>Low/no B2B traffic yet - set a Business Price (5-10% below retail) and Quantity Discount tiers (e.g. 5+ units 5% off, 10+ units 10% off) to attract first B2B interest; add bulk/case-pack info to title and bullets</v>
      </c>
    </row>
    <row r="310" ht="14.25" customHeight="1">
      <c r="A310" s="10" t="s">
        <v>345</v>
      </c>
      <c r="B310" s="10">
        <v>1.0</v>
      </c>
      <c r="C310" s="10">
        <v>1.0</v>
      </c>
      <c r="D310" s="10">
        <v>0.0</v>
      </c>
      <c r="E310" s="10">
        <v>1.0</v>
      </c>
      <c r="F310" s="10">
        <v>1.0</v>
      </c>
      <c r="G310" s="10">
        <v>0.0</v>
      </c>
      <c r="H310" s="14">
        <v>0.95</v>
      </c>
      <c r="I310" s="7">
        <f t="shared" si="1"/>
        <v>0</v>
      </c>
      <c r="J310" s="10" t="str">
        <f>IF(MAX(B310,E310)&gt;=Thresholds!$C$7,"Tier 3 - High",IF(MAX(B310,E310)&gt;=Thresholds!$C$6,"Tier 2 - Moderate","Tier 1 - Low"))</f>
        <v>Tier 1 - Low</v>
      </c>
      <c r="K310" s="7" t="str">
        <f t="shared" si="2"/>
        <v>Low Volume - Setup Needed</v>
      </c>
      <c r="L310" s="10" t="str">
        <f t="shared" si="3"/>
        <v>Low/no B2B traffic yet - set a Business Price (5-10% below retail) and Quantity Discount tiers (e.g. 5+ units 5% off, 10+ units 10% off) to attract first B2B interest; add bulk/case-pack info to title and bullets</v>
      </c>
    </row>
    <row r="311" ht="14.25" customHeight="1">
      <c r="A311" s="10" t="s">
        <v>346</v>
      </c>
      <c r="B311" s="10">
        <v>1.0</v>
      </c>
      <c r="C311" s="10">
        <v>1.0</v>
      </c>
      <c r="D311" s="10">
        <v>0.0</v>
      </c>
      <c r="E311" s="10">
        <v>1.0</v>
      </c>
      <c r="F311" s="10">
        <v>1.0</v>
      </c>
      <c r="G311" s="10">
        <v>0.0</v>
      </c>
      <c r="H311" s="14">
        <v>1.0</v>
      </c>
      <c r="I311" s="7">
        <f t="shared" si="1"/>
        <v>0</v>
      </c>
      <c r="J311" s="10" t="str">
        <f>IF(MAX(B311,E311)&gt;=Thresholds!$C$7,"Tier 3 - High",IF(MAX(B311,E311)&gt;=Thresholds!$C$6,"Tier 2 - Moderate","Tier 1 - Low"))</f>
        <v>Tier 1 - Low</v>
      </c>
      <c r="K311" s="7" t="str">
        <f t="shared" si="2"/>
        <v>Low Volume - Setup Needed</v>
      </c>
      <c r="L311" s="10" t="str">
        <f t="shared" si="3"/>
        <v>Low/no B2B traffic yet - set a Business Price (5-10% below retail) and Quantity Discount tiers (e.g. 5+ units 5% off, 10+ units 10% off) to attract first B2B interest; add bulk/case-pack info to title and bullets</v>
      </c>
    </row>
    <row r="312" ht="14.25" customHeight="1">
      <c r="A312" s="10" t="s">
        <v>347</v>
      </c>
      <c r="B312" s="10">
        <v>1.0</v>
      </c>
      <c r="C312" s="10">
        <v>2.0</v>
      </c>
      <c r="D312" s="10">
        <v>1.0</v>
      </c>
      <c r="E312" s="10">
        <v>1.0</v>
      </c>
      <c r="F312" s="10">
        <v>2.0</v>
      </c>
      <c r="G312" s="10">
        <v>0.0</v>
      </c>
      <c r="H312" s="14">
        <v>1.0</v>
      </c>
      <c r="I312" s="7">
        <f t="shared" si="1"/>
        <v>0</v>
      </c>
      <c r="J312" s="10" t="str">
        <f>IF(MAX(B312,E312)&gt;=Thresholds!$C$7,"Tier 3 - High",IF(MAX(B312,E312)&gt;=Thresholds!$C$6,"Tier 2 - Moderate","Tier 1 - Low"))</f>
        <v>Tier 1 - Low</v>
      </c>
      <c r="K312" s="7" t="str">
        <f t="shared" si="2"/>
        <v>Low Volume - Setup Needed</v>
      </c>
      <c r="L312" s="10" t="str">
        <f t="shared" si="3"/>
        <v>Low/no B2B traffic yet - set a Business Price (5-10% below retail) and Quantity Discount tiers (e.g. 5+ units 5% off, 10+ units 10% off) to attract first B2B interest; add bulk/case-pack info to title and bullets</v>
      </c>
    </row>
    <row r="313" ht="14.25" customHeight="1">
      <c r="A313" s="10" t="s">
        <v>348</v>
      </c>
      <c r="B313" s="10">
        <v>2.0</v>
      </c>
      <c r="C313" s="10">
        <v>5.0</v>
      </c>
      <c r="D313" s="10">
        <v>0.0</v>
      </c>
      <c r="E313" s="10">
        <v>2.0</v>
      </c>
      <c r="F313" s="10">
        <v>2.0</v>
      </c>
      <c r="G313" s="10">
        <v>0.0</v>
      </c>
      <c r="H313" s="14">
        <v>1.0</v>
      </c>
      <c r="I313" s="7">
        <f t="shared" si="1"/>
        <v>0</v>
      </c>
      <c r="J313" s="10" t="str">
        <f>IF(MAX(B313,E313)&gt;=Thresholds!$C$7,"Tier 3 - High",IF(MAX(B313,E313)&gt;=Thresholds!$C$6,"Tier 2 - Moderate","Tier 1 - Low"))</f>
        <v>Tier 1 - Low</v>
      </c>
      <c r="K313" s="7" t="str">
        <f t="shared" si="2"/>
        <v>Low Volume - Setup Needed</v>
      </c>
      <c r="L313" s="10" t="str">
        <f t="shared" si="3"/>
        <v>Low/no B2B traffic yet - set a Business Price (5-10% below retail) and Quantity Discount tiers (e.g. 5+ units 5% off, 10+ units 10% off) to attract first B2B interest; add bulk/case-pack info to title and bullets</v>
      </c>
    </row>
    <row r="314" ht="14.25" customHeight="1">
      <c r="A314" s="10" t="s">
        <v>349</v>
      </c>
      <c r="B314" s="10">
        <v>1.0</v>
      </c>
      <c r="C314" s="10">
        <v>1.0</v>
      </c>
      <c r="D314" s="10">
        <v>0.0</v>
      </c>
      <c r="E314" s="10">
        <v>1.0</v>
      </c>
      <c r="F314" s="10">
        <v>1.0</v>
      </c>
      <c r="G314" s="10">
        <v>0.0</v>
      </c>
      <c r="H314" s="14">
        <v>0.0</v>
      </c>
      <c r="I314" s="7">
        <f t="shared" si="1"/>
        <v>0</v>
      </c>
      <c r="J314" s="10" t="str">
        <f>IF(MAX(B314,E314)&gt;=Thresholds!$C$7,"Tier 3 - High",IF(MAX(B314,E314)&gt;=Thresholds!$C$6,"Tier 2 - Moderate","Tier 1 - Low"))</f>
        <v>Tier 1 - Low</v>
      </c>
      <c r="K314" s="7" t="str">
        <f t="shared" si="2"/>
        <v>Low Volume - Setup Needed</v>
      </c>
      <c r="L314" s="10" t="str">
        <f t="shared" si="3"/>
        <v>Low/no B2B traffic yet - set a Business Price (5-10% below retail) and Quantity Discount tiers (e.g. 5+ units 5% off, 10+ units 10% off) to attract first B2B interest; add bulk/case-pack info to title and bullets</v>
      </c>
    </row>
    <row r="315" ht="14.25" customHeight="1">
      <c r="A315" s="10" t="s">
        <v>350</v>
      </c>
      <c r="B315" s="10">
        <v>1.0</v>
      </c>
      <c r="C315" s="10">
        <v>2.0</v>
      </c>
      <c r="D315" s="10">
        <v>0.0</v>
      </c>
      <c r="E315" s="10">
        <v>1.0</v>
      </c>
      <c r="F315" s="10">
        <v>1.0</v>
      </c>
      <c r="G315" s="10">
        <v>0.0</v>
      </c>
      <c r="H315" s="14">
        <v>0.9</v>
      </c>
      <c r="I315" s="7">
        <f t="shared" si="1"/>
        <v>0</v>
      </c>
      <c r="J315" s="10" t="str">
        <f>IF(MAX(B315,E315)&gt;=Thresholds!$C$7,"Tier 3 - High",IF(MAX(B315,E315)&gt;=Thresholds!$C$6,"Tier 2 - Moderate","Tier 1 - Low"))</f>
        <v>Tier 1 - Low</v>
      </c>
      <c r="K315" s="7" t="str">
        <f t="shared" si="2"/>
        <v>Low Volume - Setup Needed</v>
      </c>
      <c r="L315" s="10" t="str">
        <f t="shared" si="3"/>
        <v>Low/no B2B traffic yet - set a Business Price (5-10% below retail) and Quantity Discount tiers (e.g. 5+ units 5% off, 10+ units 10% off) to attract first B2B interest; add bulk/case-pack info to title and bullets</v>
      </c>
    </row>
    <row r="316" ht="14.25" customHeight="1">
      <c r="A316" s="10" t="s">
        <v>351</v>
      </c>
      <c r="B316" s="10">
        <v>1.0</v>
      </c>
      <c r="C316" s="10">
        <v>1.0</v>
      </c>
      <c r="D316" s="10">
        <v>0.0</v>
      </c>
      <c r="E316" s="10">
        <v>1.0</v>
      </c>
      <c r="F316" s="10">
        <v>1.0</v>
      </c>
      <c r="G316" s="10">
        <v>0.0</v>
      </c>
      <c r="H316" s="14">
        <v>0.7373</v>
      </c>
      <c r="I316" s="7">
        <f t="shared" si="1"/>
        <v>0</v>
      </c>
      <c r="J316" s="10" t="str">
        <f>IF(MAX(B316,E316)&gt;=Thresholds!$C$7,"Tier 3 - High",IF(MAX(B316,E316)&gt;=Thresholds!$C$6,"Tier 2 - Moderate","Tier 1 - Low"))</f>
        <v>Tier 1 - Low</v>
      </c>
      <c r="K316" s="7" t="str">
        <f t="shared" si="2"/>
        <v>Low Volume - Setup Needed</v>
      </c>
      <c r="L316" s="10" t="str">
        <f t="shared" si="3"/>
        <v>Low/no B2B traffic yet - set a Business Price (5-10% below retail) and Quantity Discount tiers (e.g. 5+ units 5% off, 10+ units 10% off) to attract first B2B interest; add bulk/case-pack info to title and bullets</v>
      </c>
    </row>
    <row r="317" ht="14.25" customHeight="1">
      <c r="A317" s="10" t="s">
        <v>352</v>
      </c>
      <c r="B317" s="10">
        <v>1.0</v>
      </c>
      <c r="C317" s="10">
        <v>1.0</v>
      </c>
      <c r="D317" s="10">
        <v>0.0</v>
      </c>
      <c r="E317" s="10">
        <v>1.0</v>
      </c>
      <c r="F317" s="10">
        <v>1.0</v>
      </c>
      <c r="G317" s="10">
        <v>0.0</v>
      </c>
      <c r="H317" s="14">
        <v>0.6667</v>
      </c>
      <c r="I317" s="7">
        <f t="shared" si="1"/>
        <v>0</v>
      </c>
      <c r="J317" s="10" t="str">
        <f>IF(MAX(B317,E317)&gt;=Thresholds!$C$7,"Tier 3 - High",IF(MAX(B317,E317)&gt;=Thresholds!$C$6,"Tier 2 - Moderate","Tier 1 - Low"))</f>
        <v>Tier 1 - Low</v>
      </c>
      <c r="K317" s="7" t="str">
        <f t="shared" si="2"/>
        <v>Low Volume - Setup Needed</v>
      </c>
      <c r="L317" s="10" t="str">
        <f t="shared" si="3"/>
        <v>Low/no B2B traffic yet - set a Business Price (5-10% below retail) and Quantity Discount tiers (e.g. 5+ units 5% off, 10+ units 10% off) to attract first B2B interest; add bulk/case-pack info to title and bullets</v>
      </c>
    </row>
    <row r="318" ht="14.25" customHeight="1">
      <c r="A318" s="10" t="s">
        <v>353</v>
      </c>
      <c r="B318" s="10">
        <v>4.0</v>
      </c>
      <c r="C318" s="10">
        <v>5.0</v>
      </c>
      <c r="D318" s="10">
        <v>0.0</v>
      </c>
      <c r="E318" s="10">
        <v>4.0</v>
      </c>
      <c r="F318" s="10">
        <v>4.0</v>
      </c>
      <c r="G318" s="10">
        <v>0.0</v>
      </c>
      <c r="H318" s="14">
        <v>0.9961</v>
      </c>
      <c r="I318" s="7">
        <f t="shared" si="1"/>
        <v>0</v>
      </c>
      <c r="J318" s="10" t="str">
        <f>IF(MAX(B318,E318)&gt;=Thresholds!$C$7,"Tier 3 - High",IF(MAX(B318,E318)&gt;=Thresholds!$C$6,"Tier 2 - Moderate","Tier 1 - Low"))</f>
        <v>Tier 1 - Low</v>
      </c>
      <c r="K318" s="7" t="str">
        <f t="shared" si="2"/>
        <v>Low Volume - Setup Needed</v>
      </c>
      <c r="L318" s="10" t="str">
        <f t="shared" si="3"/>
        <v>Low/no B2B traffic yet - set a Business Price (5-10% below retail) and Quantity Discount tiers (e.g. 5+ units 5% off, 10+ units 10% off) to attract first B2B interest; add bulk/case-pack info to title and bullets</v>
      </c>
    </row>
    <row r="319" ht="14.25" customHeight="1">
      <c r="A319" s="10" t="s">
        <v>354</v>
      </c>
      <c r="B319" s="10">
        <v>2.0</v>
      </c>
      <c r="C319" s="10">
        <v>3.0</v>
      </c>
      <c r="D319" s="10">
        <v>0.0</v>
      </c>
      <c r="E319" s="10">
        <v>2.0</v>
      </c>
      <c r="F319" s="10">
        <v>2.0</v>
      </c>
      <c r="G319" s="10">
        <v>0.0</v>
      </c>
      <c r="H319" s="14">
        <v>0.9691</v>
      </c>
      <c r="I319" s="7">
        <f t="shared" si="1"/>
        <v>0</v>
      </c>
      <c r="J319" s="10" t="str">
        <f>IF(MAX(B319,E319)&gt;=Thresholds!$C$7,"Tier 3 - High",IF(MAX(B319,E319)&gt;=Thresholds!$C$6,"Tier 2 - Moderate","Tier 1 - Low"))</f>
        <v>Tier 1 - Low</v>
      </c>
      <c r="K319" s="7" t="str">
        <f t="shared" si="2"/>
        <v>Low Volume - Setup Needed</v>
      </c>
      <c r="L319" s="10" t="str">
        <f t="shared" si="3"/>
        <v>Low/no B2B traffic yet - set a Business Price (5-10% below retail) and Quantity Discount tiers (e.g. 5+ units 5% off, 10+ units 10% off) to attract first B2B interest; add bulk/case-pack info to title and bullets</v>
      </c>
    </row>
    <row r="320" ht="14.25" customHeight="1">
      <c r="A320" s="10" t="s">
        <v>355</v>
      </c>
      <c r="B320" s="10">
        <v>1.0</v>
      </c>
      <c r="C320" s="10">
        <v>1.0</v>
      </c>
      <c r="D320" s="10">
        <v>0.0</v>
      </c>
      <c r="E320" s="10">
        <v>1.0</v>
      </c>
      <c r="F320" s="10">
        <v>1.0</v>
      </c>
      <c r="G320" s="10">
        <v>0.0</v>
      </c>
      <c r="H320" s="14">
        <v>0.35</v>
      </c>
      <c r="I320" s="7">
        <f t="shared" si="1"/>
        <v>0</v>
      </c>
      <c r="J320" s="10" t="str">
        <f>IF(MAX(B320,E320)&gt;=Thresholds!$C$7,"Tier 3 - High",IF(MAX(B320,E320)&gt;=Thresholds!$C$6,"Tier 2 - Moderate","Tier 1 - Low"))</f>
        <v>Tier 1 - Low</v>
      </c>
      <c r="K320" s="7" t="str">
        <f t="shared" si="2"/>
        <v>Low Volume - Setup Needed</v>
      </c>
      <c r="L320" s="10" t="str">
        <f t="shared" si="3"/>
        <v>Low/no B2B traffic yet - set a Business Price (5-10% below retail) and Quantity Discount tiers (e.g. 5+ units 5% off, 10+ units 10% off) to attract first B2B interest; add bulk/case-pack info to title and bullets</v>
      </c>
    </row>
    <row r="321" ht="14.25" customHeight="1">
      <c r="A321" s="10" t="s">
        <v>356</v>
      </c>
      <c r="B321" s="10">
        <v>1.0</v>
      </c>
      <c r="C321" s="10">
        <v>4.0</v>
      </c>
      <c r="D321" s="10">
        <v>0.0</v>
      </c>
      <c r="E321" s="10">
        <v>1.0</v>
      </c>
      <c r="F321" s="10">
        <v>1.0</v>
      </c>
      <c r="G321" s="10">
        <v>0.0</v>
      </c>
      <c r="H321" s="14">
        <v>1.0</v>
      </c>
      <c r="I321" s="7">
        <f t="shared" si="1"/>
        <v>0</v>
      </c>
      <c r="J321" s="10" t="str">
        <f>IF(MAX(B321,E321)&gt;=Thresholds!$C$7,"Tier 3 - High",IF(MAX(B321,E321)&gt;=Thresholds!$C$6,"Tier 2 - Moderate","Tier 1 - Low"))</f>
        <v>Tier 1 - Low</v>
      </c>
      <c r="K321" s="7" t="str">
        <f t="shared" si="2"/>
        <v>Low Volume - Setup Needed</v>
      </c>
      <c r="L321" s="10" t="str">
        <f t="shared" si="3"/>
        <v>Low/no B2B traffic yet - set a Business Price (5-10% below retail) and Quantity Discount tiers (e.g. 5+ units 5% off, 10+ units 10% off) to attract first B2B interest; add bulk/case-pack info to title and bullets</v>
      </c>
    </row>
    <row r="322" ht="14.25" customHeight="1">
      <c r="A322" s="10" t="s">
        <v>357</v>
      </c>
      <c r="B322" s="10">
        <v>1.0</v>
      </c>
      <c r="C322" s="10">
        <v>1.0</v>
      </c>
      <c r="D322" s="10">
        <v>0.0</v>
      </c>
      <c r="E322" s="10">
        <v>1.0</v>
      </c>
      <c r="F322" s="10">
        <v>1.0</v>
      </c>
      <c r="G322" s="10">
        <v>0.0</v>
      </c>
      <c r="H322" s="14">
        <v>0.8947</v>
      </c>
      <c r="I322" s="7">
        <f t="shared" si="1"/>
        <v>0</v>
      </c>
      <c r="J322" s="10" t="str">
        <f>IF(MAX(B322,E322)&gt;=Thresholds!$C$7,"Tier 3 - High",IF(MAX(B322,E322)&gt;=Thresholds!$C$6,"Tier 2 - Moderate","Tier 1 - Low"))</f>
        <v>Tier 1 - Low</v>
      </c>
      <c r="K322" s="7" t="str">
        <f t="shared" si="2"/>
        <v>Low Volume - Setup Needed</v>
      </c>
      <c r="L322" s="10" t="str">
        <f t="shared" si="3"/>
        <v>Low/no B2B traffic yet - set a Business Price (5-10% below retail) and Quantity Discount tiers (e.g. 5+ units 5% off, 10+ units 10% off) to attract first B2B interest; add bulk/case-pack info to title and bullets</v>
      </c>
    </row>
    <row r="323" ht="14.25" customHeight="1">
      <c r="A323" s="10" t="s">
        <v>358</v>
      </c>
      <c r="B323" s="10">
        <v>2.0</v>
      </c>
      <c r="C323" s="10">
        <v>2.0</v>
      </c>
      <c r="D323" s="10">
        <v>0.0</v>
      </c>
      <c r="E323" s="10">
        <v>2.0</v>
      </c>
      <c r="F323" s="10">
        <v>2.0</v>
      </c>
      <c r="G323" s="10">
        <v>0.0</v>
      </c>
      <c r="H323" s="14">
        <v>1.0</v>
      </c>
      <c r="I323" s="7">
        <f t="shared" si="1"/>
        <v>0</v>
      </c>
      <c r="J323" s="10" t="str">
        <f>IF(MAX(B323,E323)&gt;=Thresholds!$C$7,"Tier 3 - High",IF(MAX(B323,E323)&gt;=Thresholds!$C$6,"Tier 2 - Moderate","Tier 1 - Low"))</f>
        <v>Tier 1 - Low</v>
      </c>
      <c r="K323" s="7" t="str">
        <f t="shared" si="2"/>
        <v>Low Volume - Setup Needed</v>
      </c>
      <c r="L323" s="10" t="str">
        <f t="shared" si="3"/>
        <v>Low/no B2B traffic yet - set a Business Price (5-10% below retail) and Quantity Discount tiers (e.g. 5+ units 5% off, 10+ units 10% off) to attract first B2B interest; add bulk/case-pack info to title and bullets</v>
      </c>
    </row>
    <row r="324" ht="14.25" customHeight="1">
      <c r="A324" s="10" t="s">
        <v>359</v>
      </c>
      <c r="B324" s="10">
        <v>0.0</v>
      </c>
      <c r="C324" s="10">
        <v>0.0</v>
      </c>
      <c r="D324" s="10">
        <v>0.0</v>
      </c>
      <c r="E324" s="10">
        <v>1.0</v>
      </c>
      <c r="F324" s="10">
        <v>1.0</v>
      </c>
      <c r="G324" s="10">
        <v>0.0</v>
      </c>
      <c r="H324" s="14">
        <v>0.0</v>
      </c>
      <c r="I324" s="7">
        <f t="shared" si="1"/>
        <v>1</v>
      </c>
      <c r="J324" s="10" t="str">
        <f>IF(MAX(B324,E324)&gt;=Thresholds!$C$7,"Tier 3 - High",IF(MAX(B324,E324)&gt;=Thresholds!$C$6,"Tier 2 - Moderate","Tier 1 - Low"))</f>
        <v>Tier 1 - Low</v>
      </c>
      <c r="K324" s="7" t="str">
        <f t="shared" si="2"/>
        <v>Low Volume - Setup Needed</v>
      </c>
      <c r="L324" s="10" t="str">
        <f t="shared" si="3"/>
        <v>Low/no B2B traffic yet - set a Business Price (5-10% below retail) and Quantity Discount tiers (e.g. 5+ units 5% off, 10+ units 10% off) to attract first B2B interest; add bulk/case-pack info to title and bullets</v>
      </c>
    </row>
    <row r="325" ht="14.25" customHeight="1">
      <c r="A325" s="10" t="s">
        <v>360</v>
      </c>
      <c r="B325" s="10">
        <v>0.0</v>
      </c>
      <c r="C325" s="10">
        <v>0.0</v>
      </c>
      <c r="D325" s="10">
        <v>0.0</v>
      </c>
      <c r="E325" s="10">
        <v>1.0</v>
      </c>
      <c r="F325" s="10">
        <v>1.0</v>
      </c>
      <c r="G325" s="10">
        <v>0.0</v>
      </c>
      <c r="H325" s="14">
        <v>0.0</v>
      </c>
      <c r="I325" s="7">
        <f t="shared" si="1"/>
        <v>1</v>
      </c>
      <c r="J325" s="10" t="str">
        <f>IF(MAX(B325,E325)&gt;=Thresholds!$C$7,"Tier 3 - High",IF(MAX(B325,E325)&gt;=Thresholds!$C$6,"Tier 2 - Moderate","Tier 1 - Low"))</f>
        <v>Tier 1 - Low</v>
      </c>
      <c r="K325" s="7" t="str">
        <f t="shared" si="2"/>
        <v>Low Volume - Setup Needed</v>
      </c>
      <c r="L325" s="10" t="str">
        <f t="shared" si="3"/>
        <v>Low/no B2B traffic yet - set a Business Price (5-10% below retail) and Quantity Discount tiers (e.g. 5+ units 5% off, 10+ units 10% off) to attract first B2B interest; add bulk/case-pack info to title and bullets</v>
      </c>
    </row>
    <row r="326" ht="14.25" customHeight="1">
      <c r="A326" s="10" t="s">
        <v>361</v>
      </c>
      <c r="B326" s="10">
        <v>0.0</v>
      </c>
      <c r="C326" s="10">
        <v>0.0</v>
      </c>
      <c r="D326" s="10">
        <v>0.0</v>
      </c>
      <c r="E326" s="10">
        <v>1.0</v>
      </c>
      <c r="F326" s="10">
        <v>1.0</v>
      </c>
      <c r="G326" s="10">
        <v>0.0</v>
      </c>
      <c r="H326" s="14">
        <v>0.0</v>
      </c>
      <c r="I326" s="7">
        <f t="shared" si="1"/>
        <v>1</v>
      </c>
      <c r="J326" s="10" t="str">
        <f>IF(MAX(B326,E326)&gt;=Thresholds!$C$7,"Tier 3 - High",IF(MAX(B326,E326)&gt;=Thresholds!$C$6,"Tier 2 - Moderate","Tier 1 - Low"))</f>
        <v>Tier 1 - Low</v>
      </c>
      <c r="K326" s="7" t="str">
        <f t="shared" si="2"/>
        <v>Low Volume - Setup Needed</v>
      </c>
      <c r="L326" s="10" t="str">
        <f t="shared" si="3"/>
        <v>Low/no B2B traffic yet - set a Business Price (5-10% below retail) and Quantity Discount tiers (e.g. 5+ units 5% off, 10+ units 10% off) to attract first B2B interest; add bulk/case-pack info to title and bullets</v>
      </c>
    </row>
    <row r="327" ht="14.25" customHeight="1">
      <c r="A327" s="10" t="s">
        <v>362</v>
      </c>
      <c r="B327" s="10">
        <v>0.0</v>
      </c>
      <c r="C327" s="10">
        <v>0.0</v>
      </c>
      <c r="D327" s="10">
        <v>0.0</v>
      </c>
      <c r="E327" s="10">
        <v>1.0</v>
      </c>
      <c r="F327" s="10">
        <v>2.0</v>
      </c>
      <c r="G327" s="10">
        <v>0.0</v>
      </c>
      <c r="H327" s="14">
        <v>1.0</v>
      </c>
      <c r="I327" s="7">
        <f t="shared" si="1"/>
        <v>1</v>
      </c>
      <c r="J327" s="10" t="str">
        <f>IF(MAX(B327,E327)&gt;=Thresholds!$C$7,"Tier 3 - High",IF(MAX(B327,E327)&gt;=Thresholds!$C$6,"Tier 2 - Moderate","Tier 1 - Low"))</f>
        <v>Tier 1 - Low</v>
      </c>
      <c r="K327" s="7" t="str">
        <f t="shared" si="2"/>
        <v>Low Volume - Setup Needed</v>
      </c>
      <c r="L327" s="10" t="str">
        <f t="shared" si="3"/>
        <v>Low/no B2B traffic yet - set a Business Price (5-10% below retail) and Quantity Discount tiers (e.g. 5+ units 5% off, 10+ units 10% off) to attract first B2B interest; add bulk/case-pack info to title and bullets</v>
      </c>
    </row>
    <row r="328" ht="14.25" customHeight="1">
      <c r="A328" s="10" t="s">
        <v>363</v>
      </c>
      <c r="B328" s="10">
        <v>0.0</v>
      </c>
      <c r="C328" s="10">
        <v>0.0</v>
      </c>
      <c r="D328" s="10">
        <v>0.0</v>
      </c>
      <c r="E328" s="10">
        <v>1.0</v>
      </c>
      <c r="F328" s="10">
        <v>1.0</v>
      </c>
      <c r="G328" s="10">
        <v>0.0</v>
      </c>
      <c r="H328" s="14">
        <v>1.0</v>
      </c>
      <c r="I328" s="7">
        <f t="shared" si="1"/>
        <v>1</v>
      </c>
      <c r="J328" s="10" t="str">
        <f>IF(MAX(B328,E328)&gt;=Thresholds!$C$7,"Tier 3 - High",IF(MAX(B328,E328)&gt;=Thresholds!$C$6,"Tier 2 - Moderate","Tier 1 - Low"))</f>
        <v>Tier 1 - Low</v>
      </c>
      <c r="K328" s="7" t="str">
        <f t="shared" si="2"/>
        <v>Low Volume - Setup Needed</v>
      </c>
      <c r="L328" s="10" t="str">
        <f t="shared" si="3"/>
        <v>Low/no B2B traffic yet - set a Business Price (5-10% below retail) and Quantity Discount tiers (e.g. 5+ units 5% off, 10+ units 10% off) to attract first B2B interest; add bulk/case-pack info to title and bullets</v>
      </c>
    </row>
    <row r="329" ht="14.25" customHeight="1">
      <c r="A329" s="10" t="s">
        <v>364</v>
      </c>
      <c r="B329" s="10">
        <v>0.0</v>
      </c>
      <c r="C329" s="10">
        <v>0.0</v>
      </c>
      <c r="D329" s="10">
        <v>0.0</v>
      </c>
      <c r="E329" s="10">
        <v>1.0</v>
      </c>
      <c r="F329" s="10">
        <v>1.0</v>
      </c>
      <c r="G329" s="10">
        <v>0.0</v>
      </c>
      <c r="H329" s="14">
        <v>1.0</v>
      </c>
      <c r="I329" s="7">
        <f t="shared" si="1"/>
        <v>1</v>
      </c>
      <c r="J329" s="10" t="str">
        <f>IF(MAX(B329,E329)&gt;=Thresholds!$C$7,"Tier 3 - High",IF(MAX(B329,E329)&gt;=Thresholds!$C$6,"Tier 2 - Moderate","Tier 1 - Low"))</f>
        <v>Tier 1 - Low</v>
      </c>
      <c r="K329" s="7" t="str">
        <f t="shared" si="2"/>
        <v>Low Volume - Setup Needed</v>
      </c>
      <c r="L329" s="10" t="str">
        <f t="shared" si="3"/>
        <v>Low/no B2B traffic yet - set a Business Price (5-10% below retail) and Quantity Discount tiers (e.g. 5+ units 5% off, 10+ units 10% off) to attract first B2B interest; add bulk/case-pack info to title and bullets</v>
      </c>
    </row>
    <row r="330" ht="14.25" customHeight="1">
      <c r="A330" s="10" t="s">
        <v>365</v>
      </c>
      <c r="B330" s="10">
        <v>0.0</v>
      </c>
      <c r="C330" s="10">
        <v>0.0</v>
      </c>
      <c r="D330" s="10">
        <v>0.0</v>
      </c>
      <c r="E330" s="10">
        <v>1.0</v>
      </c>
      <c r="F330" s="10">
        <v>1.0</v>
      </c>
      <c r="G330" s="10">
        <v>0.0</v>
      </c>
      <c r="H330" s="14">
        <v>1.0</v>
      </c>
      <c r="I330" s="7">
        <f t="shared" si="1"/>
        <v>1</v>
      </c>
      <c r="J330" s="10" t="str">
        <f>IF(MAX(B330,E330)&gt;=Thresholds!$C$7,"Tier 3 - High",IF(MAX(B330,E330)&gt;=Thresholds!$C$6,"Tier 2 - Moderate","Tier 1 - Low"))</f>
        <v>Tier 1 - Low</v>
      </c>
      <c r="K330" s="7" t="str">
        <f t="shared" si="2"/>
        <v>Low Volume - Setup Needed</v>
      </c>
      <c r="L330" s="10" t="str">
        <f t="shared" si="3"/>
        <v>Low/no B2B traffic yet - set a Business Price (5-10% below retail) and Quantity Discount tiers (e.g. 5+ units 5% off, 10+ units 10% off) to attract first B2B interest; add bulk/case-pack info to title and bullets</v>
      </c>
    </row>
    <row r="331" ht="14.25" customHeight="1">
      <c r="A331" s="10" t="s">
        <v>366</v>
      </c>
      <c r="B331" s="10">
        <v>0.0</v>
      </c>
      <c r="C331" s="10">
        <v>0.0</v>
      </c>
      <c r="D331" s="10">
        <v>0.0</v>
      </c>
      <c r="E331" s="10">
        <v>1.0</v>
      </c>
      <c r="F331" s="10">
        <v>1.0</v>
      </c>
      <c r="G331" s="10">
        <v>0.0</v>
      </c>
      <c r="H331" s="14">
        <v>0.0</v>
      </c>
      <c r="I331" s="7">
        <f t="shared" si="1"/>
        <v>1</v>
      </c>
      <c r="J331" s="10" t="str">
        <f>IF(MAX(B331,E331)&gt;=Thresholds!$C$7,"Tier 3 - High",IF(MAX(B331,E331)&gt;=Thresholds!$C$6,"Tier 2 - Moderate","Tier 1 - Low"))</f>
        <v>Tier 1 - Low</v>
      </c>
      <c r="K331" s="7" t="str">
        <f t="shared" si="2"/>
        <v>Low Volume - Setup Needed</v>
      </c>
      <c r="L331" s="10" t="str">
        <f t="shared" si="3"/>
        <v>Low/no B2B traffic yet - set a Business Price (5-10% below retail) and Quantity Discount tiers (e.g. 5+ units 5% off, 10+ units 10% off) to attract first B2B interest; add bulk/case-pack info to title and bullets</v>
      </c>
    </row>
    <row r="332" ht="14.25" customHeight="1">
      <c r="A332" s="10" t="s">
        <v>367</v>
      </c>
      <c r="B332" s="10">
        <v>0.0</v>
      </c>
      <c r="C332" s="10">
        <v>0.0</v>
      </c>
      <c r="D332" s="10">
        <v>0.0</v>
      </c>
      <c r="E332" s="10">
        <v>1.0</v>
      </c>
      <c r="F332" s="10">
        <v>1.0</v>
      </c>
      <c r="G332" s="10">
        <v>0.0</v>
      </c>
      <c r="H332" s="14">
        <v>0.913</v>
      </c>
      <c r="I332" s="7">
        <f t="shared" si="1"/>
        <v>1</v>
      </c>
      <c r="J332" s="10" t="str">
        <f>IF(MAX(B332,E332)&gt;=Thresholds!$C$7,"Tier 3 - High",IF(MAX(B332,E332)&gt;=Thresholds!$C$6,"Tier 2 - Moderate","Tier 1 - Low"))</f>
        <v>Tier 1 - Low</v>
      </c>
      <c r="K332" s="7" t="str">
        <f t="shared" si="2"/>
        <v>Low Volume - Setup Needed</v>
      </c>
      <c r="L332" s="10" t="str">
        <f t="shared" si="3"/>
        <v>Low/no B2B traffic yet - set a Business Price (5-10% below retail) and Quantity Discount tiers (e.g. 5+ units 5% off, 10+ units 10% off) to attract first B2B interest; add bulk/case-pack info to title and bullets</v>
      </c>
    </row>
    <row r="333" ht="14.25" customHeight="1">
      <c r="A333" s="10" t="s">
        <v>368</v>
      </c>
      <c r="B333" s="10">
        <v>2.0</v>
      </c>
      <c r="C333" s="10">
        <v>2.0</v>
      </c>
      <c r="D333" s="10">
        <v>0.0</v>
      </c>
      <c r="E333" s="10">
        <v>3.0</v>
      </c>
      <c r="F333" s="10">
        <v>4.0</v>
      </c>
      <c r="G333" s="10">
        <v>4.0</v>
      </c>
      <c r="H333" s="14">
        <v>0.8512</v>
      </c>
      <c r="I333" s="7">
        <f t="shared" si="1"/>
        <v>1</v>
      </c>
      <c r="J333" s="10" t="str">
        <f>IF(MAX(B333,E333)&gt;=Thresholds!$C$7,"Tier 3 - High",IF(MAX(B333,E333)&gt;=Thresholds!$C$6,"Tier 2 - Moderate","Tier 1 - Low"))</f>
        <v>Tier 1 - Low</v>
      </c>
      <c r="K333" s="7" t="str">
        <f t="shared" si="2"/>
        <v>Low Volume - Setup Needed</v>
      </c>
      <c r="L333" s="10" t="str">
        <f t="shared" si="3"/>
        <v>Low/no B2B traffic yet - set a Business Price (5-10% below retail) and Quantity Discount tiers (e.g. 5+ units 5% off, 10+ units 10% off) to attract first B2B interest; add bulk/case-pack info to title and bullets</v>
      </c>
    </row>
    <row r="334" ht="14.25" customHeight="1">
      <c r="A334" s="10" t="s">
        <v>369</v>
      </c>
      <c r="B334" s="10">
        <v>0.0</v>
      </c>
      <c r="C334" s="10">
        <v>0.0</v>
      </c>
      <c r="D334" s="10">
        <v>0.0</v>
      </c>
      <c r="E334" s="10">
        <v>1.0</v>
      </c>
      <c r="F334" s="10">
        <v>1.0</v>
      </c>
      <c r="G334" s="10">
        <v>0.0</v>
      </c>
      <c r="H334" s="14">
        <v>0.6667</v>
      </c>
      <c r="I334" s="7">
        <f t="shared" si="1"/>
        <v>1</v>
      </c>
      <c r="J334" s="10" t="str">
        <f>IF(MAX(B334,E334)&gt;=Thresholds!$C$7,"Tier 3 - High",IF(MAX(B334,E334)&gt;=Thresholds!$C$6,"Tier 2 - Moderate","Tier 1 - Low"))</f>
        <v>Tier 1 - Low</v>
      </c>
      <c r="K334" s="7" t="str">
        <f t="shared" si="2"/>
        <v>Low Volume - Setup Needed</v>
      </c>
      <c r="L334" s="10" t="str">
        <f t="shared" si="3"/>
        <v>Low/no B2B traffic yet - set a Business Price (5-10% below retail) and Quantity Discount tiers (e.g. 5+ units 5% off, 10+ units 10% off) to attract first B2B interest; add bulk/case-pack info to title and bullets</v>
      </c>
    </row>
    <row r="335" ht="14.25" customHeight="1">
      <c r="A335" s="10" t="s">
        <v>370</v>
      </c>
      <c r="B335" s="10">
        <v>0.0</v>
      </c>
      <c r="C335" s="10">
        <v>0.0</v>
      </c>
      <c r="D335" s="10">
        <v>0.0</v>
      </c>
      <c r="E335" s="10">
        <v>1.0</v>
      </c>
      <c r="F335" s="10">
        <v>1.0</v>
      </c>
      <c r="G335" s="10">
        <v>0.0</v>
      </c>
      <c r="H335" s="14">
        <v>1.0</v>
      </c>
      <c r="I335" s="7">
        <f t="shared" si="1"/>
        <v>1</v>
      </c>
      <c r="J335" s="10" t="str">
        <f>IF(MAX(B335,E335)&gt;=Thresholds!$C$7,"Tier 3 - High",IF(MAX(B335,E335)&gt;=Thresholds!$C$6,"Tier 2 - Moderate","Tier 1 - Low"))</f>
        <v>Tier 1 - Low</v>
      </c>
      <c r="K335" s="7" t="str">
        <f t="shared" si="2"/>
        <v>Low Volume - Setup Needed</v>
      </c>
      <c r="L335" s="10" t="str">
        <f t="shared" si="3"/>
        <v>Low/no B2B traffic yet - set a Business Price (5-10% below retail) and Quantity Discount tiers (e.g. 5+ units 5% off, 10+ units 10% off) to attract first B2B interest; add bulk/case-pack info to title and bullets</v>
      </c>
    </row>
    <row r="336" ht="14.25" customHeight="1">
      <c r="A336" s="10" t="s">
        <v>371</v>
      </c>
      <c r="B336" s="10">
        <v>0.0</v>
      </c>
      <c r="C336" s="10">
        <v>0.0</v>
      </c>
      <c r="D336" s="10">
        <v>0.0</v>
      </c>
      <c r="E336" s="10">
        <v>1.0</v>
      </c>
      <c r="F336" s="10">
        <v>1.0</v>
      </c>
      <c r="G336" s="10">
        <v>0.0</v>
      </c>
      <c r="H336" s="14">
        <v>0.5</v>
      </c>
      <c r="I336" s="7">
        <f t="shared" si="1"/>
        <v>1</v>
      </c>
      <c r="J336" s="10" t="str">
        <f>IF(MAX(B336,E336)&gt;=Thresholds!$C$7,"Tier 3 - High",IF(MAX(B336,E336)&gt;=Thresholds!$C$6,"Tier 2 - Moderate","Tier 1 - Low"))</f>
        <v>Tier 1 - Low</v>
      </c>
      <c r="K336" s="7" t="str">
        <f t="shared" si="2"/>
        <v>Low Volume - Setup Needed</v>
      </c>
      <c r="L336" s="10" t="str">
        <f t="shared" si="3"/>
        <v>Low/no B2B traffic yet - set a Business Price (5-10% below retail) and Quantity Discount tiers (e.g. 5+ units 5% off, 10+ units 10% off) to attract first B2B interest; add bulk/case-pack info to title and bullets</v>
      </c>
    </row>
    <row r="337" ht="14.25" customHeight="1">
      <c r="A337" s="10" t="s">
        <v>372</v>
      </c>
      <c r="B337" s="10">
        <v>0.0</v>
      </c>
      <c r="C337" s="10">
        <v>0.0</v>
      </c>
      <c r="D337" s="10">
        <v>0.0</v>
      </c>
      <c r="E337" s="10">
        <v>1.0</v>
      </c>
      <c r="F337" s="10">
        <v>2.0</v>
      </c>
      <c r="G337" s="10">
        <v>0.0</v>
      </c>
      <c r="H337" s="14">
        <v>1.0</v>
      </c>
      <c r="I337" s="7">
        <f t="shared" si="1"/>
        <v>1</v>
      </c>
      <c r="J337" s="10" t="str">
        <f>IF(MAX(B337,E337)&gt;=Thresholds!$C$7,"Tier 3 - High",IF(MAX(B337,E337)&gt;=Thresholds!$C$6,"Tier 2 - Moderate","Tier 1 - Low"))</f>
        <v>Tier 1 - Low</v>
      </c>
      <c r="K337" s="7" t="str">
        <f t="shared" si="2"/>
        <v>Low Volume - Setup Needed</v>
      </c>
      <c r="L337" s="10" t="str">
        <f t="shared" si="3"/>
        <v>Low/no B2B traffic yet - set a Business Price (5-10% below retail) and Quantity Discount tiers (e.g. 5+ units 5% off, 10+ units 10% off) to attract first B2B interest; add bulk/case-pack info to title and bullets</v>
      </c>
    </row>
    <row r="338" ht="14.25" customHeight="1">
      <c r="A338" s="10" t="s">
        <v>373</v>
      </c>
      <c r="B338" s="10">
        <v>0.0</v>
      </c>
      <c r="C338" s="10">
        <v>0.0</v>
      </c>
      <c r="D338" s="10">
        <v>0.0</v>
      </c>
      <c r="E338" s="10">
        <v>1.0</v>
      </c>
      <c r="F338" s="10">
        <v>1.0</v>
      </c>
      <c r="G338" s="10">
        <v>0.0</v>
      </c>
      <c r="H338" s="14">
        <v>1.0</v>
      </c>
      <c r="I338" s="7">
        <f t="shared" si="1"/>
        <v>1</v>
      </c>
      <c r="J338" s="10" t="str">
        <f>IF(MAX(B338,E338)&gt;=Thresholds!$C$7,"Tier 3 - High",IF(MAX(B338,E338)&gt;=Thresholds!$C$6,"Tier 2 - Moderate","Tier 1 - Low"))</f>
        <v>Tier 1 - Low</v>
      </c>
      <c r="K338" s="7" t="str">
        <f t="shared" si="2"/>
        <v>Low Volume - Setup Needed</v>
      </c>
      <c r="L338" s="10" t="str">
        <f t="shared" si="3"/>
        <v>Low/no B2B traffic yet - set a Business Price (5-10% below retail) and Quantity Discount tiers (e.g. 5+ units 5% off, 10+ units 10% off) to attract first B2B interest; add bulk/case-pack info to title and bullets</v>
      </c>
    </row>
    <row r="339" ht="14.25" customHeight="1">
      <c r="A339" s="10" t="s">
        <v>374</v>
      </c>
      <c r="B339" s="10">
        <v>0.0</v>
      </c>
      <c r="C339" s="10">
        <v>0.0</v>
      </c>
      <c r="D339" s="10">
        <v>0.0</v>
      </c>
      <c r="E339" s="10">
        <v>1.0</v>
      </c>
      <c r="F339" s="10">
        <v>1.0</v>
      </c>
      <c r="G339" s="10">
        <v>0.0</v>
      </c>
      <c r="H339" s="14">
        <v>1.0</v>
      </c>
      <c r="I339" s="7">
        <f t="shared" si="1"/>
        <v>1</v>
      </c>
      <c r="J339" s="10" t="str">
        <f>IF(MAX(B339,E339)&gt;=Thresholds!$C$7,"Tier 3 - High",IF(MAX(B339,E339)&gt;=Thresholds!$C$6,"Tier 2 - Moderate","Tier 1 - Low"))</f>
        <v>Tier 1 - Low</v>
      </c>
      <c r="K339" s="7" t="str">
        <f t="shared" si="2"/>
        <v>Low Volume - Setup Needed</v>
      </c>
      <c r="L339" s="10" t="str">
        <f t="shared" si="3"/>
        <v>Low/no B2B traffic yet - set a Business Price (5-10% below retail) and Quantity Discount tiers (e.g. 5+ units 5% off, 10+ units 10% off) to attract first B2B interest; add bulk/case-pack info to title and bullets</v>
      </c>
    </row>
    <row r="340" ht="14.25" customHeight="1">
      <c r="A340" s="10" t="s">
        <v>375</v>
      </c>
      <c r="B340" s="10">
        <v>0.0</v>
      </c>
      <c r="C340" s="10">
        <v>0.0</v>
      </c>
      <c r="D340" s="10">
        <v>0.0</v>
      </c>
      <c r="E340" s="10">
        <v>1.0</v>
      </c>
      <c r="F340" s="10">
        <v>1.0</v>
      </c>
      <c r="G340" s="10">
        <v>0.0</v>
      </c>
      <c r="H340" s="14">
        <v>1.0</v>
      </c>
      <c r="I340" s="7">
        <f t="shared" si="1"/>
        <v>1</v>
      </c>
      <c r="J340" s="10" t="str">
        <f>IF(MAX(B340,E340)&gt;=Thresholds!$C$7,"Tier 3 - High",IF(MAX(B340,E340)&gt;=Thresholds!$C$6,"Tier 2 - Moderate","Tier 1 - Low"))</f>
        <v>Tier 1 - Low</v>
      </c>
      <c r="K340" s="7" t="str">
        <f t="shared" si="2"/>
        <v>Low Volume - Setup Needed</v>
      </c>
      <c r="L340" s="10" t="str">
        <f t="shared" si="3"/>
        <v>Low/no B2B traffic yet - set a Business Price (5-10% below retail) and Quantity Discount tiers (e.g. 5+ units 5% off, 10+ units 10% off) to attract first B2B interest; add bulk/case-pack info to title and bullets</v>
      </c>
    </row>
    <row r="341" ht="14.25" customHeight="1">
      <c r="A341" s="10" t="s">
        <v>376</v>
      </c>
      <c r="B341" s="10">
        <v>0.0</v>
      </c>
      <c r="C341" s="10">
        <v>0.0</v>
      </c>
      <c r="D341" s="10">
        <v>0.0</v>
      </c>
      <c r="E341" s="10">
        <v>1.0</v>
      </c>
      <c r="F341" s="10">
        <v>1.0</v>
      </c>
      <c r="G341" s="10">
        <v>0.0</v>
      </c>
      <c r="H341" s="14">
        <v>1.0</v>
      </c>
      <c r="I341" s="7">
        <f t="shared" si="1"/>
        <v>1</v>
      </c>
      <c r="J341" s="10" t="str">
        <f>IF(MAX(B341,E341)&gt;=Thresholds!$C$7,"Tier 3 - High",IF(MAX(B341,E341)&gt;=Thresholds!$C$6,"Tier 2 - Moderate","Tier 1 - Low"))</f>
        <v>Tier 1 - Low</v>
      </c>
      <c r="K341" s="7" t="str">
        <f t="shared" si="2"/>
        <v>Low Volume - Setup Needed</v>
      </c>
      <c r="L341" s="10" t="str">
        <f t="shared" si="3"/>
        <v>Low/no B2B traffic yet - set a Business Price (5-10% below retail) and Quantity Discount tiers (e.g. 5+ units 5% off, 10+ units 10% off) to attract first B2B interest; add bulk/case-pack info to title and bullets</v>
      </c>
    </row>
    <row r="342" ht="14.25" customHeight="1">
      <c r="A342" s="10" t="s">
        <v>377</v>
      </c>
      <c r="B342" s="10">
        <v>0.0</v>
      </c>
      <c r="C342" s="10">
        <v>0.0</v>
      </c>
      <c r="D342" s="10">
        <v>0.0</v>
      </c>
      <c r="E342" s="10">
        <v>1.0</v>
      </c>
      <c r="F342" s="10">
        <v>1.0</v>
      </c>
      <c r="G342" s="10">
        <v>0.0</v>
      </c>
      <c r="H342" s="14">
        <v>1.0</v>
      </c>
      <c r="I342" s="7">
        <f t="shared" si="1"/>
        <v>1</v>
      </c>
      <c r="J342" s="10" t="str">
        <f>IF(MAX(B342,E342)&gt;=Thresholds!$C$7,"Tier 3 - High",IF(MAX(B342,E342)&gt;=Thresholds!$C$6,"Tier 2 - Moderate","Tier 1 - Low"))</f>
        <v>Tier 1 - Low</v>
      </c>
      <c r="K342" s="7" t="str">
        <f t="shared" si="2"/>
        <v>Low Volume - Setup Needed</v>
      </c>
      <c r="L342" s="10" t="str">
        <f t="shared" si="3"/>
        <v>Low/no B2B traffic yet - set a Business Price (5-10% below retail) and Quantity Discount tiers (e.g. 5+ units 5% off, 10+ units 10% off) to attract first B2B interest; add bulk/case-pack info to title and bullets</v>
      </c>
    </row>
    <row r="343" ht="14.25" customHeight="1">
      <c r="A343" s="10" t="s">
        <v>378</v>
      </c>
      <c r="B343" s="10">
        <v>0.0</v>
      </c>
      <c r="C343" s="10">
        <v>0.0</v>
      </c>
      <c r="D343" s="10">
        <v>0.0</v>
      </c>
      <c r="E343" s="10">
        <v>1.0</v>
      </c>
      <c r="F343" s="10">
        <v>1.0</v>
      </c>
      <c r="G343" s="10">
        <v>0.0</v>
      </c>
      <c r="H343" s="14">
        <v>1.0</v>
      </c>
      <c r="I343" s="7">
        <f t="shared" si="1"/>
        <v>1</v>
      </c>
      <c r="J343" s="10" t="str">
        <f>IF(MAX(B343,E343)&gt;=Thresholds!$C$7,"Tier 3 - High",IF(MAX(B343,E343)&gt;=Thresholds!$C$6,"Tier 2 - Moderate","Tier 1 - Low"))</f>
        <v>Tier 1 - Low</v>
      </c>
      <c r="K343" s="7" t="str">
        <f t="shared" si="2"/>
        <v>Low Volume - Setup Needed</v>
      </c>
      <c r="L343" s="10" t="str">
        <f t="shared" si="3"/>
        <v>Low/no B2B traffic yet - set a Business Price (5-10% below retail) and Quantity Discount tiers (e.g. 5+ units 5% off, 10+ units 10% off) to attract first B2B interest; add bulk/case-pack info to title and bullets</v>
      </c>
    </row>
    <row r="344" ht="14.25" customHeight="1">
      <c r="A344" s="10" t="s">
        <v>379</v>
      </c>
      <c r="B344" s="10">
        <v>0.0</v>
      </c>
      <c r="C344" s="10">
        <v>0.0</v>
      </c>
      <c r="D344" s="10">
        <v>0.0</v>
      </c>
      <c r="E344" s="10">
        <v>1.0</v>
      </c>
      <c r="F344" s="10">
        <v>1.0</v>
      </c>
      <c r="G344" s="10">
        <v>0.0</v>
      </c>
      <c r="H344" s="14">
        <v>1.0</v>
      </c>
      <c r="I344" s="7">
        <f t="shared" si="1"/>
        <v>1</v>
      </c>
      <c r="J344" s="10" t="str">
        <f>IF(MAX(B344,E344)&gt;=Thresholds!$C$7,"Tier 3 - High",IF(MAX(B344,E344)&gt;=Thresholds!$C$6,"Tier 2 - Moderate","Tier 1 - Low"))</f>
        <v>Tier 1 - Low</v>
      </c>
      <c r="K344" s="7" t="str">
        <f t="shared" si="2"/>
        <v>Low Volume - Setup Needed</v>
      </c>
      <c r="L344" s="10" t="str">
        <f t="shared" si="3"/>
        <v>Low/no B2B traffic yet - set a Business Price (5-10% below retail) and Quantity Discount tiers (e.g. 5+ units 5% off, 10+ units 10% off) to attract first B2B interest; add bulk/case-pack info to title and bullets</v>
      </c>
    </row>
    <row r="345" ht="14.25" customHeight="1">
      <c r="A345" s="10" t="s">
        <v>380</v>
      </c>
      <c r="B345" s="10">
        <v>0.0</v>
      </c>
      <c r="C345" s="10">
        <v>0.0</v>
      </c>
      <c r="D345" s="10">
        <v>0.0</v>
      </c>
      <c r="E345" s="10">
        <v>1.0</v>
      </c>
      <c r="F345" s="10">
        <v>1.0</v>
      </c>
      <c r="G345" s="10">
        <v>0.0</v>
      </c>
      <c r="H345" s="14">
        <v>1.0</v>
      </c>
      <c r="I345" s="7">
        <f t="shared" si="1"/>
        <v>1</v>
      </c>
      <c r="J345" s="10" t="str">
        <f>IF(MAX(B345,E345)&gt;=Thresholds!$C$7,"Tier 3 - High",IF(MAX(B345,E345)&gt;=Thresholds!$C$6,"Tier 2 - Moderate","Tier 1 - Low"))</f>
        <v>Tier 1 - Low</v>
      </c>
      <c r="K345" s="7" t="str">
        <f t="shared" si="2"/>
        <v>Low Volume - Setup Needed</v>
      </c>
      <c r="L345" s="10" t="str">
        <f t="shared" si="3"/>
        <v>Low/no B2B traffic yet - set a Business Price (5-10% below retail) and Quantity Discount tiers (e.g. 5+ units 5% off, 10+ units 10% off) to attract first B2B interest; add bulk/case-pack info to title and bullets</v>
      </c>
    </row>
    <row r="346" ht="14.25" customHeight="1">
      <c r="A346" s="10" t="s">
        <v>381</v>
      </c>
      <c r="B346" s="10">
        <v>0.0</v>
      </c>
      <c r="C346" s="10">
        <v>0.0</v>
      </c>
      <c r="D346" s="10">
        <v>0.0</v>
      </c>
      <c r="E346" s="10">
        <v>1.0</v>
      </c>
      <c r="F346" s="10">
        <v>1.0</v>
      </c>
      <c r="G346" s="10">
        <v>0.0</v>
      </c>
      <c r="H346" s="14">
        <v>1.0</v>
      </c>
      <c r="I346" s="7">
        <f t="shared" si="1"/>
        <v>1</v>
      </c>
      <c r="J346" s="10" t="str">
        <f>IF(MAX(B346,E346)&gt;=Thresholds!$C$7,"Tier 3 - High",IF(MAX(B346,E346)&gt;=Thresholds!$C$6,"Tier 2 - Moderate","Tier 1 - Low"))</f>
        <v>Tier 1 - Low</v>
      </c>
      <c r="K346" s="7" t="str">
        <f t="shared" si="2"/>
        <v>Low Volume - Setup Needed</v>
      </c>
      <c r="L346" s="10" t="str">
        <f t="shared" si="3"/>
        <v>Low/no B2B traffic yet - set a Business Price (5-10% below retail) and Quantity Discount tiers (e.g. 5+ units 5% off, 10+ units 10% off) to attract first B2B interest; add bulk/case-pack info to title and bullets</v>
      </c>
    </row>
    <row r="347" ht="14.25" customHeight="1">
      <c r="A347" s="10" t="s">
        <v>382</v>
      </c>
      <c r="B347" s="10">
        <v>0.0</v>
      </c>
      <c r="C347" s="10">
        <v>0.0</v>
      </c>
      <c r="D347" s="10">
        <v>0.0</v>
      </c>
      <c r="E347" s="10">
        <v>1.0</v>
      </c>
      <c r="F347" s="10">
        <v>1.0</v>
      </c>
      <c r="G347" s="10">
        <v>0.0</v>
      </c>
      <c r="H347" s="14">
        <v>1.0</v>
      </c>
      <c r="I347" s="7">
        <f t="shared" si="1"/>
        <v>1</v>
      </c>
      <c r="J347" s="10" t="str">
        <f>IF(MAX(B347,E347)&gt;=Thresholds!$C$7,"Tier 3 - High",IF(MAX(B347,E347)&gt;=Thresholds!$C$6,"Tier 2 - Moderate","Tier 1 - Low"))</f>
        <v>Tier 1 - Low</v>
      </c>
      <c r="K347" s="7" t="str">
        <f t="shared" si="2"/>
        <v>Low Volume - Setup Needed</v>
      </c>
      <c r="L347" s="10" t="str">
        <f t="shared" si="3"/>
        <v>Low/no B2B traffic yet - set a Business Price (5-10% below retail) and Quantity Discount tiers (e.g. 5+ units 5% off, 10+ units 10% off) to attract first B2B interest; add bulk/case-pack info to title and bullets</v>
      </c>
    </row>
    <row r="348" ht="14.25" customHeight="1">
      <c r="A348" s="10" t="s">
        <v>383</v>
      </c>
      <c r="B348" s="10">
        <v>0.0</v>
      </c>
      <c r="C348" s="10">
        <v>0.0</v>
      </c>
      <c r="D348" s="10">
        <v>0.0</v>
      </c>
      <c r="E348" s="10">
        <v>1.0</v>
      </c>
      <c r="F348" s="10">
        <v>1.0</v>
      </c>
      <c r="G348" s="10">
        <v>0.0</v>
      </c>
      <c r="H348" s="14">
        <v>1.0</v>
      </c>
      <c r="I348" s="7">
        <f t="shared" si="1"/>
        <v>1</v>
      </c>
      <c r="J348" s="10" t="str">
        <f>IF(MAX(B348,E348)&gt;=Thresholds!$C$7,"Tier 3 - High",IF(MAX(B348,E348)&gt;=Thresholds!$C$6,"Tier 2 - Moderate","Tier 1 - Low"))</f>
        <v>Tier 1 - Low</v>
      </c>
      <c r="K348" s="7" t="str">
        <f t="shared" si="2"/>
        <v>Low Volume - Setup Needed</v>
      </c>
      <c r="L348" s="10" t="str">
        <f t="shared" si="3"/>
        <v>Low/no B2B traffic yet - set a Business Price (5-10% below retail) and Quantity Discount tiers (e.g. 5+ units 5% off, 10+ units 10% off) to attract first B2B interest; add bulk/case-pack info to title and bullets</v>
      </c>
    </row>
    <row r="349" ht="14.25" customHeight="1">
      <c r="A349" s="10" t="s">
        <v>384</v>
      </c>
      <c r="B349" s="10">
        <v>0.0</v>
      </c>
      <c r="C349" s="10">
        <v>0.0</v>
      </c>
      <c r="D349" s="10">
        <v>0.0</v>
      </c>
      <c r="E349" s="10">
        <v>1.0</v>
      </c>
      <c r="F349" s="10">
        <v>1.0</v>
      </c>
      <c r="G349" s="10">
        <v>1.0</v>
      </c>
      <c r="H349" s="14">
        <v>0.8974</v>
      </c>
      <c r="I349" s="7">
        <f t="shared" si="1"/>
        <v>1</v>
      </c>
      <c r="J349" s="10" t="str">
        <f>IF(MAX(B349,E349)&gt;=Thresholds!$C$7,"Tier 3 - High",IF(MAX(B349,E349)&gt;=Thresholds!$C$6,"Tier 2 - Moderate","Tier 1 - Low"))</f>
        <v>Tier 1 - Low</v>
      </c>
      <c r="K349" s="7" t="str">
        <f t="shared" si="2"/>
        <v>Low Volume - Setup Needed</v>
      </c>
      <c r="L349" s="10" t="str">
        <f t="shared" si="3"/>
        <v>Low/no B2B traffic yet - set a Business Price (5-10% below retail) and Quantity Discount tiers (e.g. 5+ units 5% off, 10+ units 10% off) to attract first B2B interest; add bulk/case-pack info to title and bullets</v>
      </c>
    </row>
    <row r="350" ht="14.25" customHeight="1">
      <c r="A350" s="10" t="s">
        <v>385</v>
      </c>
      <c r="B350" s="10">
        <v>0.0</v>
      </c>
      <c r="C350" s="10">
        <v>0.0</v>
      </c>
      <c r="D350" s="10">
        <v>0.0</v>
      </c>
      <c r="E350" s="10">
        <v>1.0</v>
      </c>
      <c r="F350" s="10">
        <v>1.0</v>
      </c>
      <c r="G350" s="10">
        <v>0.0</v>
      </c>
      <c r="H350" s="14">
        <v>0.878</v>
      </c>
      <c r="I350" s="7">
        <f t="shared" si="1"/>
        <v>1</v>
      </c>
      <c r="J350" s="10" t="str">
        <f>IF(MAX(B350,E350)&gt;=Thresholds!$C$7,"Tier 3 - High",IF(MAX(B350,E350)&gt;=Thresholds!$C$6,"Tier 2 - Moderate","Tier 1 - Low"))</f>
        <v>Tier 1 - Low</v>
      </c>
      <c r="K350" s="7" t="str">
        <f t="shared" si="2"/>
        <v>Low Volume - Setup Needed</v>
      </c>
      <c r="L350" s="10" t="str">
        <f t="shared" si="3"/>
        <v>Low/no B2B traffic yet - set a Business Price (5-10% below retail) and Quantity Discount tiers (e.g. 5+ units 5% off, 10+ units 10% off) to attract first B2B interest; add bulk/case-pack info to title and bullets</v>
      </c>
    </row>
    <row r="351" ht="14.25" customHeight="1">
      <c r="A351" s="10" t="s">
        <v>386</v>
      </c>
      <c r="B351" s="10">
        <v>1.0</v>
      </c>
      <c r="C351" s="10">
        <v>4.0</v>
      </c>
      <c r="D351" s="10">
        <v>0.0</v>
      </c>
      <c r="E351" s="10">
        <v>2.0</v>
      </c>
      <c r="F351" s="10">
        <v>5.0</v>
      </c>
      <c r="G351" s="10">
        <v>0.0</v>
      </c>
      <c r="H351" s="14">
        <v>1.0</v>
      </c>
      <c r="I351" s="7">
        <f t="shared" si="1"/>
        <v>1</v>
      </c>
      <c r="J351" s="10" t="str">
        <f>IF(MAX(B351,E351)&gt;=Thresholds!$C$7,"Tier 3 - High",IF(MAX(B351,E351)&gt;=Thresholds!$C$6,"Tier 2 - Moderate","Tier 1 - Low"))</f>
        <v>Tier 1 - Low</v>
      </c>
      <c r="K351" s="7" t="str">
        <f t="shared" si="2"/>
        <v>Low Volume - Setup Needed</v>
      </c>
      <c r="L351" s="10" t="str">
        <f t="shared" si="3"/>
        <v>Low/no B2B traffic yet - set a Business Price (5-10% below retail) and Quantity Discount tiers (e.g. 5+ units 5% off, 10+ units 10% off) to attract first B2B interest; add bulk/case-pack info to title and bullets</v>
      </c>
    </row>
    <row r="352" ht="14.25" customHeight="1">
      <c r="A352" s="10" t="s">
        <v>387</v>
      </c>
      <c r="B352" s="10">
        <v>0.0</v>
      </c>
      <c r="C352" s="10">
        <v>0.0</v>
      </c>
      <c r="D352" s="10">
        <v>0.0</v>
      </c>
      <c r="E352" s="10">
        <v>1.0</v>
      </c>
      <c r="F352" s="10">
        <v>1.0</v>
      </c>
      <c r="G352" s="10">
        <v>0.0</v>
      </c>
      <c r="H352" s="14">
        <v>0.9355</v>
      </c>
      <c r="I352" s="7">
        <f t="shared" si="1"/>
        <v>1</v>
      </c>
      <c r="J352" s="10" t="str">
        <f>IF(MAX(B352,E352)&gt;=Thresholds!$C$7,"Tier 3 - High",IF(MAX(B352,E352)&gt;=Thresholds!$C$6,"Tier 2 - Moderate","Tier 1 - Low"))</f>
        <v>Tier 1 - Low</v>
      </c>
      <c r="K352" s="7" t="str">
        <f t="shared" si="2"/>
        <v>Low Volume - Setup Needed</v>
      </c>
      <c r="L352" s="10" t="str">
        <f t="shared" si="3"/>
        <v>Low/no B2B traffic yet - set a Business Price (5-10% below retail) and Quantity Discount tiers (e.g. 5+ units 5% off, 10+ units 10% off) to attract first B2B interest; add bulk/case-pack info to title and bullets</v>
      </c>
    </row>
    <row r="353" ht="14.25" customHeight="1">
      <c r="A353" s="10" t="s">
        <v>388</v>
      </c>
      <c r="B353" s="10">
        <v>0.0</v>
      </c>
      <c r="C353" s="10">
        <v>0.0</v>
      </c>
      <c r="D353" s="10">
        <v>0.0</v>
      </c>
      <c r="E353" s="10">
        <v>1.0</v>
      </c>
      <c r="F353" s="10">
        <v>1.0</v>
      </c>
      <c r="G353" s="10">
        <v>0.0</v>
      </c>
      <c r="H353" s="14">
        <v>0.7143</v>
      </c>
      <c r="I353" s="7">
        <f t="shared" si="1"/>
        <v>1</v>
      </c>
      <c r="J353" s="10" t="str">
        <f>IF(MAX(B353,E353)&gt;=Thresholds!$C$7,"Tier 3 - High",IF(MAX(B353,E353)&gt;=Thresholds!$C$6,"Tier 2 - Moderate","Tier 1 - Low"))</f>
        <v>Tier 1 - Low</v>
      </c>
      <c r="K353" s="7" t="str">
        <f t="shared" si="2"/>
        <v>Low Volume - Setup Needed</v>
      </c>
      <c r="L353" s="10" t="str">
        <f t="shared" si="3"/>
        <v>Low/no B2B traffic yet - set a Business Price (5-10% below retail) and Quantity Discount tiers (e.g. 5+ units 5% off, 10+ units 10% off) to attract first B2B interest; add bulk/case-pack info to title and bullets</v>
      </c>
    </row>
    <row r="354" ht="14.25" customHeight="1">
      <c r="A354" s="10" t="s">
        <v>389</v>
      </c>
      <c r="B354" s="10">
        <v>0.0</v>
      </c>
      <c r="C354" s="10">
        <v>0.0</v>
      </c>
      <c r="D354" s="10">
        <v>0.0</v>
      </c>
      <c r="E354" s="10">
        <v>1.0</v>
      </c>
      <c r="F354" s="10">
        <v>1.0</v>
      </c>
      <c r="G354" s="10">
        <v>0.0</v>
      </c>
      <c r="H354" s="14">
        <v>1.0</v>
      </c>
      <c r="I354" s="7">
        <f t="shared" si="1"/>
        <v>1</v>
      </c>
      <c r="J354" s="10" t="str">
        <f>IF(MAX(B354,E354)&gt;=Thresholds!$C$7,"Tier 3 - High",IF(MAX(B354,E354)&gt;=Thresholds!$C$6,"Tier 2 - Moderate","Tier 1 - Low"))</f>
        <v>Tier 1 - Low</v>
      </c>
      <c r="K354" s="7" t="str">
        <f t="shared" si="2"/>
        <v>Low Volume - Setup Needed</v>
      </c>
      <c r="L354" s="10" t="str">
        <f t="shared" si="3"/>
        <v>Low/no B2B traffic yet - set a Business Price (5-10% below retail) and Quantity Discount tiers (e.g. 5+ units 5% off, 10+ units 10% off) to attract first B2B interest; add bulk/case-pack info to title and bullets</v>
      </c>
    </row>
    <row r="355" ht="14.25" customHeight="1">
      <c r="A355" s="10" t="s">
        <v>390</v>
      </c>
      <c r="B355" s="10">
        <v>0.0</v>
      </c>
      <c r="C355" s="10">
        <v>0.0</v>
      </c>
      <c r="D355" s="10">
        <v>0.0</v>
      </c>
      <c r="E355" s="10">
        <v>1.0</v>
      </c>
      <c r="F355" s="10">
        <v>1.0</v>
      </c>
      <c r="G355" s="10">
        <v>0.0</v>
      </c>
      <c r="H355" s="14">
        <v>1.0</v>
      </c>
      <c r="I355" s="7">
        <f t="shared" si="1"/>
        <v>1</v>
      </c>
      <c r="J355" s="10" t="str">
        <f>IF(MAX(B355,E355)&gt;=Thresholds!$C$7,"Tier 3 - High",IF(MAX(B355,E355)&gt;=Thresholds!$C$6,"Tier 2 - Moderate","Tier 1 - Low"))</f>
        <v>Tier 1 - Low</v>
      </c>
      <c r="K355" s="7" t="str">
        <f t="shared" si="2"/>
        <v>Low Volume - Setup Needed</v>
      </c>
      <c r="L355" s="10" t="str">
        <f t="shared" si="3"/>
        <v>Low/no B2B traffic yet - set a Business Price (5-10% below retail) and Quantity Discount tiers (e.g. 5+ units 5% off, 10+ units 10% off) to attract first B2B interest; add bulk/case-pack info to title and bullets</v>
      </c>
    </row>
    <row r="356" ht="14.25" customHeight="1">
      <c r="A356" s="10" t="s">
        <v>391</v>
      </c>
      <c r="B356" s="10">
        <v>0.0</v>
      </c>
      <c r="C356" s="10">
        <v>0.0</v>
      </c>
      <c r="D356" s="10">
        <v>0.0</v>
      </c>
      <c r="E356" s="10">
        <v>1.0</v>
      </c>
      <c r="F356" s="10">
        <v>1.0</v>
      </c>
      <c r="G356" s="10">
        <v>0.0</v>
      </c>
      <c r="H356" s="14">
        <v>0.0</v>
      </c>
      <c r="I356" s="7">
        <f t="shared" si="1"/>
        <v>1</v>
      </c>
      <c r="J356" s="10" t="str">
        <f>IF(MAX(B356,E356)&gt;=Thresholds!$C$7,"Tier 3 - High",IF(MAX(B356,E356)&gt;=Thresholds!$C$6,"Tier 2 - Moderate","Tier 1 - Low"))</f>
        <v>Tier 1 - Low</v>
      </c>
      <c r="K356" s="7" t="str">
        <f t="shared" si="2"/>
        <v>Low Volume - Setup Needed</v>
      </c>
      <c r="L356" s="10" t="str">
        <f t="shared" si="3"/>
        <v>Low/no B2B traffic yet - set a Business Price (5-10% below retail) and Quantity Discount tiers (e.g. 5+ units 5% off, 10+ units 10% off) to attract first B2B interest; add bulk/case-pack info to title and bullets</v>
      </c>
    </row>
    <row r="357" ht="14.25" customHeight="1">
      <c r="A357" s="10" t="s">
        <v>392</v>
      </c>
      <c r="B357" s="10">
        <v>0.0</v>
      </c>
      <c r="C357" s="10">
        <v>0.0</v>
      </c>
      <c r="D357" s="10">
        <v>0.0</v>
      </c>
      <c r="E357" s="10">
        <v>1.0</v>
      </c>
      <c r="F357" s="10">
        <v>1.0</v>
      </c>
      <c r="G357" s="10">
        <v>0.0</v>
      </c>
      <c r="H357" s="14">
        <v>1.0</v>
      </c>
      <c r="I357" s="7">
        <f t="shared" si="1"/>
        <v>1</v>
      </c>
      <c r="J357" s="10" t="str">
        <f>IF(MAX(B357,E357)&gt;=Thresholds!$C$7,"Tier 3 - High",IF(MAX(B357,E357)&gt;=Thresholds!$C$6,"Tier 2 - Moderate","Tier 1 - Low"))</f>
        <v>Tier 1 - Low</v>
      </c>
      <c r="K357" s="7" t="str">
        <f t="shared" si="2"/>
        <v>Low Volume - Setup Needed</v>
      </c>
      <c r="L357" s="10" t="str">
        <f t="shared" si="3"/>
        <v>Low/no B2B traffic yet - set a Business Price (5-10% below retail) and Quantity Discount tiers (e.g. 5+ units 5% off, 10+ units 10% off) to attract first B2B interest; add bulk/case-pack info to title and bullets</v>
      </c>
    </row>
    <row r="358" ht="14.25" customHeight="1">
      <c r="A358" s="10" t="s">
        <v>393</v>
      </c>
      <c r="B358" s="10">
        <v>1.0</v>
      </c>
      <c r="C358" s="10">
        <v>1.0</v>
      </c>
      <c r="D358" s="10">
        <v>0.0</v>
      </c>
      <c r="E358" s="10">
        <v>2.0</v>
      </c>
      <c r="F358" s="10">
        <v>2.0</v>
      </c>
      <c r="G358" s="10">
        <v>0.0</v>
      </c>
      <c r="H358" s="14">
        <v>1.0</v>
      </c>
      <c r="I358" s="7">
        <f t="shared" si="1"/>
        <v>1</v>
      </c>
      <c r="J358" s="10" t="str">
        <f>IF(MAX(B358,E358)&gt;=Thresholds!$C$7,"Tier 3 - High",IF(MAX(B358,E358)&gt;=Thresholds!$C$6,"Tier 2 - Moderate","Tier 1 - Low"))</f>
        <v>Tier 1 - Low</v>
      </c>
      <c r="K358" s="7" t="str">
        <f t="shared" si="2"/>
        <v>Low Volume - Setup Needed</v>
      </c>
      <c r="L358" s="10" t="str">
        <f t="shared" si="3"/>
        <v>Low/no B2B traffic yet - set a Business Price (5-10% below retail) and Quantity Discount tiers (e.g. 5+ units 5% off, 10+ units 10% off) to attract first B2B interest; add bulk/case-pack info to title and bullets</v>
      </c>
    </row>
    <row r="359" ht="14.25" customHeight="1">
      <c r="A359" s="10" t="s">
        <v>394</v>
      </c>
      <c r="B359" s="10">
        <v>0.0</v>
      </c>
      <c r="C359" s="10">
        <v>0.0</v>
      </c>
      <c r="D359" s="10">
        <v>0.0</v>
      </c>
      <c r="E359" s="10">
        <v>1.0</v>
      </c>
      <c r="F359" s="10">
        <v>2.0</v>
      </c>
      <c r="G359" s="10">
        <v>0.0</v>
      </c>
      <c r="H359" s="14">
        <v>0.75</v>
      </c>
      <c r="I359" s="7">
        <f t="shared" si="1"/>
        <v>1</v>
      </c>
      <c r="J359" s="10" t="str">
        <f>IF(MAX(B359,E359)&gt;=Thresholds!$C$7,"Tier 3 - High",IF(MAX(B359,E359)&gt;=Thresholds!$C$6,"Tier 2 - Moderate","Tier 1 - Low"))</f>
        <v>Tier 1 - Low</v>
      </c>
      <c r="K359" s="7" t="str">
        <f t="shared" si="2"/>
        <v>Low Volume - Setup Needed</v>
      </c>
      <c r="L359" s="10" t="str">
        <f t="shared" si="3"/>
        <v>Low/no B2B traffic yet - set a Business Price (5-10% below retail) and Quantity Discount tiers (e.g. 5+ units 5% off, 10+ units 10% off) to attract first B2B interest; add bulk/case-pack info to title and bullets</v>
      </c>
    </row>
    <row r="360" ht="14.25" customHeight="1">
      <c r="A360" s="10" t="s">
        <v>395</v>
      </c>
      <c r="B360" s="10">
        <v>0.0</v>
      </c>
      <c r="C360" s="10">
        <v>0.0</v>
      </c>
      <c r="D360" s="10">
        <v>0.0</v>
      </c>
      <c r="E360" s="10">
        <v>1.0</v>
      </c>
      <c r="F360" s="10">
        <v>2.0</v>
      </c>
      <c r="G360" s="10">
        <v>0.0</v>
      </c>
      <c r="H360" s="14">
        <v>1.0</v>
      </c>
      <c r="I360" s="7">
        <f t="shared" si="1"/>
        <v>1</v>
      </c>
      <c r="J360" s="10" t="str">
        <f>IF(MAX(B360,E360)&gt;=Thresholds!$C$7,"Tier 3 - High",IF(MAX(B360,E360)&gt;=Thresholds!$C$6,"Tier 2 - Moderate","Tier 1 - Low"))</f>
        <v>Tier 1 - Low</v>
      </c>
      <c r="K360" s="7" t="str">
        <f t="shared" si="2"/>
        <v>Low Volume - Setup Needed</v>
      </c>
      <c r="L360" s="10" t="str">
        <f t="shared" si="3"/>
        <v>Low/no B2B traffic yet - set a Business Price (5-10% below retail) and Quantity Discount tiers (e.g. 5+ units 5% off, 10+ units 10% off) to attract first B2B interest; add bulk/case-pack info to title and bullets</v>
      </c>
    </row>
    <row r="361" ht="14.25" customHeight="1">
      <c r="A361" s="10" t="s">
        <v>396</v>
      </c>
      <c r="B361" s="10">
        <v>0.0</v>
      </c>
      <c r="C361" s="10">
        <v>0.0</v>
      </c>
      <c r="D361" s="10">
        <v>0.0</v>
      </c>
      <c r="E361" s="10">
        <v>1.0</v>
      </c>
      <c r="F361" s="10">
        <v>1.0</v>
      </c>
      <c r="G361" s="10">
        <v>0.0</v>
      </c>
      <c r="H361" s="14">
        <v>1.0</v>
      </c>
      <c r="I361" s="7">
        <f t="shared" si="1"/>
        <v>1</v>
      </c>
      <c r="J361" s="10" t="str">
        <f>IF(MAX(B361,E361)&gt;=Thresholds!$C$7,"Tier 3 - High",IF(MAX(B361,E361)&gt;=Thresholds!$C$6,"Tier 2 - Moderate","Tier 1 - Low"))</f>
        <v>Tier 1 - Low</v>
      </c>
      <c r="K361" s="7" t="str">
        <f t="shared" si="2"/>
        <v>Low Volume - Setup Needed</v>
      </c>
      <c r="L361" s="10" t="str">
        <f t="shared" si="3"/>
        <v>Low/no B2B traffic yet - set a Business Price (5-10% below retail) and Quantity Discount tiers (e.g. 5+ units 5% off, 10+ units 10% off) to attract first B2B interest; add bulk/case-pack info to title and bullets</v>
      </c>
    </row>
    <row r="362" ht="14.25" customHeight="1">
      <c r="A362" s="10" t="s">
        <v>397</v>
      </c>
      <c r="B362" s="10">
        <v>0.0</v>
      </c>
      <c r="C362" s="10">
        <v>0.0</v>
      </c>
      <c r="D362" s="10">
        <v>0.0</v>
      </c>
      <c r="E362" s="10">
        <v>1.0</v>
      </c>
      <c r="F362" s="10">
        <v>1.0</v>
      </c>
      <c r="G362" s="10">
        <v>0.0</v>
      </c>
      <c r="H362" s="14">
        <v>1.0</v>
      </c>
      <c r="I362" s="7">
        <f t="shared" si="1"/>
        <v>1</v>
      </c>
      <c r="J362" s="10" t="str">
        <f>IF(MAX(B362,E362)&gt;=Thresholds!$C$7,"Tier 3 - High",IF(MAX(B362,E362)&gt;=Thresholds!$C$6,"Tier 2 - Moderate","Tier 1 - Low"))</f>
        <v>Tier 1 - Low</v>
      </c>
      <c r="K362" s="7" t="str">
        <f t="shared" si="2"/>
        <v>Low Volume - Setup Needed</v>
      </c>
      <c r="L362" s="10" t="str">
        <f t="shared" si="3"/>
        <v>Low/no B2B traffic yet - set a Business Price (5-10% below retail) and Quantity Discount tiers (e.g. 5+ units 5% off, 10+ units 10% off) to attract first B2B interest; add bulk/case-pack info to title and bullets</v>
      </c>
    </row>
    <row r="363" ht="14.25" customHeight="1">
      <c r="A363" s="10" t="s">
        <v>398</v>
      </c>
      <c r="B363" s="10">
        <v>0.0</v>
      </c>
      <c r="C363" s="10">
        <v>0.0</v>
      </c>
      <c r="D363" s="10">
        <v>0.0</v>
      </c>
      <c r="E363" s="10">
        <v>1.0</v>
      </c>
      <c r="F363" s="10">
        <v>1.0</v>
      </c>
      <c r="G363" s="10">
        <v>0.0</v>
      </c>
      <c r="H363" s="14">
        <v>1.0</v>
      </c>
      <c r="I363" s="7">
        <f t="shared" si="1"/>
        <v>1</v>
      </c>
      <c r="J363" s="10" t="str">
        <f>IF(MAX(B363,E363)&gt;=Thresholds!$C$7,"Tier 3 - High",IF(MAX(B363,E363)&gt;=Thresholds!$C$6,"Tier 2 - Moderate","Tier 1 - Low"))</f>
        <v>Tier 1 - Low</v>
      </c>
      <c r="K363" s="7" t="str">
        <f t="shared" si="2"/>
        <v>Low Volume - Setup Needed</v>
      </c>
      <c r="L363" s="10" t="str">
        <f t="shared" si="3"/>
        <v>Low/no B2B traffic yet - set a Business Price (5-10% below retail) and Quantity Discount tiers (e.g. 5+ units 5% off, 10+ units 10% off) to attract first B2B interest; add bulk/case-pack info to title and bullets</v>
      </c>
    </row>
    <row r="364" ht="14.25" customHeight="1">
      <c r="A364" s="10" t="s">
        <v>399</v>
      </c>
      <c r="B364" s="10">
        <v>0.0</v>
      </c>
      <c r="C364" s="10">
        <v>0.0</v>
      </c>
      <c r="D364" s="10">
        <v>0.0</v>
      </c>
      <c r="E364" s="10">
        <v>1.0</v>
      </c>
      <c r="F364" s="10">
        <v>1.0</v>
      </c>
      <c r="G364" s="10">
        <v>0.0</v>
      </c>
      <c r="H364" s="14">
        <v>1.0</v>
      </c>
      <c r="I364" s="7">
        <f t="shared" si="1"/>
        <v>1</v>
      </c>
      <c r="J364" s="10" t="str">
        <f>IF(MAX(B364,E364)&gt;=Thresholds!$C$7,"Tier 3 - High",IF(MAX(B364,E364)&gt;=Thresholds!$C$6,"Tier 2 - Moderate","Tier 1 - Low"))</f>
        <v>Tier 1 - Low</v>
      </c>
      <c r="K364" s="7" t="str">
        <f t="shared" si="2"/>
        <v>Low Volume - Setup Needed</v>
      </c>
      <c r="L364" s="10" t="str">
        <f t="shared" si="3"/>
        <v>Low/no B2B traffic yet - set a Business Price (5-10% below retail) and Quantity Discount tiers (e.g. 5+ units 5% off, 10+ units 10% off) to attract first B2B interest; add bulk/case-pack info to title and bullets</v>
      </c>
    </row>
    <row r="365" ht="14.25" customHeight="1">
      <c r="A365" s="10" t="s">
        <v>400</v>
      </c>
      <c r="B365" s="10">
        <v>0.0</v>
      </c>
      <c r="C365" s="10">
        <v>0.0</v>
      </c>
      <c r="D365" s="10">
        <v>0.0</v>
      </c>
      <c r="E365" s="10">
        <v>1.0</v>
      </c>
      <c r="F365" s="10">
        <v>1.0</v>
      </c>
      <c r="G365" s="10">
        <v>0.0</v>
      </c>
      <c r="H365" s="14">
        <v>0.0</v>
      </c>
      <c r="I365" s="7">
        <f t="shared" si="1"/>
        <v>1</v>
      </c>
      <c r="J365" s="10" t="str">
        <f>IF(MAX(B365,E365)&gt;=Thresholds!$C$7,"Tier 3 - High",IF(MAX(B365,E365)&gt;=Thresholds!$C$6,"Tier 2 - Moderate","Tier 1 - Low"))</f>
        <v>Tier 1 - Low</v>
      </c>
      <c r="K365" s="7" t="str">
        <f t="shared" si="2"/>
        <v>Low Volume - Setup Needed</v>
      </c>
      <c r="L365" s="10" t="str">
        <f t="shared" si="3"/>
        <v>Low/no B2B traffic yet - set a Business Price (5-10% below retail) and Quantity Discount tiers (e.g. 5+ units 5% off, 10+ units 10% off) to attract first B2B interest; add bulk/case-pack info to title and bullets</v>
      </c>
    </row>
    <row r="366" ht="14.25" customHeight="1">
      <c r="A366" s="10" t="s">
        <v>401</v>
      </c>
      <c r="B366" s="10">
        <v>0.0</v>
      </c>
      <c r="C366" s="10">
        <v>0.0</v>
      </c>
      <c r="D366" s="10">
        <v>0.0</v>
      </c>
      <c r="E366" s="10">
        <v>1.0</v>
      </c>
      <c r="F366" s="10">
        <v>1.0</v>
      </c>
      <c r="G366" s="10">
        <v>0.0</v>
      </c>
      <c r="H366" s="14">
        <v>1.0</v>
      </c>
      <c r="I366" s="7">
        <f t="shared" si="1"/>
        <v>1</v>
      </c>
      <c r="J366" s="10" t="str">
        <f>IF(MAX(B366,E366)&gt;=Thresholds!$C$7,"Tier 3 - High",IF(MAX(B366,E366)&gt;=Thresholds!$C$6,"Tier 2 - Moderate","Tier 1 - Low"))</f>
        <v>Tier 1 - Low</v>
      </c>
      <c r="K366" s="7" t="str">
        <f t="shared" si="2"/>
        <v>Low Volume - Setup Needed</v>
      </c>
      <c r="L366" s="10" t="str">
        <f t="shared" si="3"/>
        <v>Low/no B2B traffic yet - set a Business Price (5-10% below retail) and Quantity Discount tiers (e.g. 5+ units 5% off, 10+ units 10% off) to attract first B2B interest; add bulk/case-pack info to title and bullets</v>
      </c>
    </row>
    <row r="367" ht="14.25" customHeight="1">
      <c r="A367" s="10" t="s">
        <v>402</v>
      </c>
      <c r="B367" s="10">
        <v>0.0</v>
      </c>
      <c r="C367" s="10">
        <v>0.0</v>
      </c>
      <c r="D367" s="10">
        <v>0.0</v>
      </c>
      <c r="E367" s="10">
        <v>1.0</v>
      </c>
      <c r="F367" s="10">
        <v>1.0</v>
      </c>
      <c r="G367" s="10">
        <v>0.0</v>
      </c>
      <c r="H367" s="14">
        <v>1.0</v>
      </c>
      <c r="I367" s="7">
        <f t="shared" si="1"/>
        <v>1</v>
      </c>
      <c r="J367" s="10" t="str">
        <f>IF(MAX(B367,E367)&gt;=Thresholds!$C$7,"Tier 3 - High",IF(MAX(B367,E367)&gt;=Thresholds!$C$6,"Tier 2 - Moderate","Tier 1 - Low"))</f>
        <v>Tier 1 - Low</v>
      </c>
      <c r="K367" s="7" t="str">
        <f t="shared" si="2"/>
        <v>Low Volume - Setup Needed</v>
      </c>
      <c r="L367" s="10" t="str">
        <f t="shared" si="3"/>
        <v>Low/no B2B traffic yet - set a Business Price (5-10% below retail) and Quantity Discount tiers (e.g. 5+ units 5% off, 10+ units 10% off) to attract first B2B interest; add bulk/case-pack info to title and bullets</v>
      </c>
    </row>
    <row r="368" ht="14.25" customHeight="1">
      <c r="A368" s="10" t="s">
        <v>403</v>
      </c>
      <c r="B368" s="10">
        <v>0.0</v>
      </c>
      <c r="C368" s="10">
        <v>0.0</v>
      </c>
      <c r="D368" s="10">
        <v>0.0</v>
      </c>
      <c r="E368" s="10">
        <v>1.0</v>
      </c>
      <c r="F368" s="10">
        <v>4.0</v>
      </c>
      <c r="G368" s="10">
        <v>0.0</v>
      </c>
      <c r="H368" s="14">
        <v>1.0</v>
      </c>
      <c r="I368" s="7">
        <f t="shared" si="1"/>
        <v>1</v>
      </c>
      <c r="J368" s="10" t="str">
        <f>IF(MAX(B368,E368)&gt;=Thresholds!$C$7,"Tier 3 - High",IF(MAX(B368,E368)&gt;=Thresholds!$C$6,"Tier 2 - Moderate","Tier 1 - Low"))</f>
        <v>Tier 1 - Low</v>
      </c>
      <c r="K368" s="7" t="str">
        <f t="shared" si="2"/>
        <v>Low Volume - Setup Needed</v>
      </c>
      <c r="L368" s="10" t="str">
        <f t="shared" si="3"/>
        <v>Low/no B2B traffic yet - set a Business Price (5-10% below retail) and Quantity Discount tiers (e.g. 5+ units 5% off, 10+ units 10% off) to attract first B2B interest; add bulk/case-pack info to title and bullets</v>
      </c>
    </row>
    <row r="369" ht="14.25" customHeight="1">
      <c r="A369" s="10" t="s">
        <v>404</v>
      </c>
      <c r="B369" s="10">
        <v>0.0</v>
      </c>
      <c r="C369" s="10">
        <v>0.0</v>
      </c>
      <c r="D369" s="10">
        <v>0.0</v>
      </c>
      <c r="E369" s="10">
        <v>1.0</v>
      </c>
      <c r="F369" s="10">
        <v>1.0</v>
      </c>
      <c r="G369" s="10">
        <v>0.0</v>
      </c>
      <c r="H369" s="14">
        <v>1.0</v>
      </c>
      <c r="I369" s="7">
        <f t="shared" si="1"/>
        <v>1</v>
      </c>
      <c r="J369" s="10" t="str">
        <f>IF(MAX(B369,E369)&gt;=Thresholds!$C$7,"Tier 3 - High",IF(MAX(B369,E369)&gt;=Thresholds!$C$6,"Tier 2 - Moderate","Tier 1 - Low"))</f>
        <v>Tier 1 - Low</v>
      </c>
      <c r="K369" s="7" t="str">
        <f t="shared" si="2"/>
        <v>Low Volume - Setup Needed</v>
      </c>
      <c r="L369" s="10" t="str">
        <f t="shared" si="3"/>
        <v>Low/no B2B traffic yet - set a Business Price (5-10% below retail) and Quantity Discount tiers (e.g. 5+ units 5% off, 10+ units 10% off) to attract first B2B interest; add bulk/case-pack info to title and bullets</v>
      </c>
    </row>
    <row r="370" ht="14.25" customHeight="1">
      <c r="A370" s="10" t="s">
        <v>405</v>
      </c>
      <c r="B370" s="10">
        <v>0.0</v>
      </c>
      <c r="C370" s="10">
        <v>0.0</v>
      </c>
      <c r="D370" s="10">
        <v>0.0</v>
      </c>
      <c r="E370" s="10">
        <v>1.0</v>
      </c>
      <c r="F370" s="10">
        <v>1.0</v>
      </c>
      <c r="G370" s="10">
        <v>0.0</v>
      </c>
      <c r="H370" s="14">
        <v>0.8913</v>
      </c>
      <c r="I370" s="7">
        <f t="shared" si="1"/>
        <v>1</v>
      </c>
      <c r="J370" s="10" t="str">
        <f>IF(MAX(B370,E370)&gt;=Thresholds!$C$7,"Tier 3 - High",IF(MAX(B370,E370)&gt;=Thresholds!$C$6,"Tier 2 - Moderate","Tier 1 - Low"))</f>
        <v>Tier 1 - Low</v>
      </c>
      <c r="K370" s="7" t="str">
        <f t="shared" si="2"/>
        <v>Low Volume - Setup Needed</v>
      </c>
      <c r="L370" s="10" t="str">
        <f t="shared" si="3"/>
        <v>Low/no B2B traffic yet - set a Business Price (5-10% below retail) and Quantity Discount tiers (e.g. 5+ units 5% off, 10+ units 10% off) to attract first B2B interest; add bulk/case-pack info to title and bullets</v>
      </c>
    </row>
    <row r="371" ht="14.25" customHeight="1">
      <c r="A371" s="10" t="s">
        <v>406</v>
      </c>
      <c r="B371" s="10">
        <v>0.0</v>
      </c>
      <c r="C371" s="10">
        <v>0.0</v>
      </c>
      <c r="D371" s="10">
        <v>0.0</v>
      </c>
      <c r="E371" s="10">
        <v>1.0</v>
      </c>
      <c r="F371" s="10">
        <v>1.0</v>
      </c>
      <c r="G371" s="10">
        <v>0.0</v>
      </c>
      <c r="H371" s="14">
        <v>1.0</v>
      </c>
      <c r="I371" s="7">
        <f t="shared" si="1"/>
        <v>1</v>
      </c>
      <c r="J371" s="10" t="str">
        <f>IF(MAX(B371,E371)&gt;=Thresholds!$C$7,"Tier 3 - High",IF(MAX(B371,E371)&gt;=Thresholds!$C$6,"Tier 2 - Moderate","Tier 1 - Low"))</f>
        <v>Tier 1 - Low</v>
      </c>
      <c r="K371" s="7" t="str">
        <f t="shared" si="2"/>
        <v>Low Volume - Setup Needed</v>
      </c>
      <c r="L371" s="10" t="str">
        <f t="shared" si="3"/>
        <v>Low/no B2B traffic yet - set a Business Price (5-10% below retail) and Quantity Discount tiers (e.g. 5+ units 5% off, 10+ units 10% off) to attract first B2B interest; add bulk/case-pack info to title and bullets</v>
      </c>
    </row>
    <row r="372" ht="14.25" customHeight="1">
      <c r="A372" s="10" t="s">
        <v>407</v>
      </c>
      <c r="B372" s="10">
        <v>0.0</v>
      </c>
      <c r="C372" s="10">
        <v>0.0</v>
      </c>
      <c r="D372" s="10">
        <v>0.0</v>
      </c>
      <c r="E372" s="10">
        <v>1.0</v>
      </c>
      <c r="F372" s="10">
        <v>1.0</v>
      </c>
      <c r="G372" s="10">
        <v>0.0</v>
      </c>
      <c r="H372" s="14">
        <v>1.0</v>
      </c>
      <c r="I372" s="7">
        <f t="shared" si="1"/>
        <v>1</v>
      </c>
      <c r="J372" s="10" t="str">
        <f>IF(MAX(B372,E372)&gt;=Thresholds!$C$7,"Tier 3 - High",IF(MAX(B372,E372)&gt;=Thresholds!$C$6,"Tier 2 - Moderate","Tier 1 - Low"))</f>
        <v>Tier 1 - Low</v>
      </c>
      <c r="K372" s="7" t="str">
        <f t="shared" si="2"/>
        <v>Low Volume - Setup Needed</v>
      </c>
      <c r="L372" s="10" t="str">
        <f t="shared" si="3"/>
        <v>Low/no B2B traffic yet - set a Business Price (5-10% below retail) and Quantity Discount tiers (e.g. 5+ units 5% off, 10+ units 10% off) to attract first B2B interest; add bulk/case-pack info to title and bullets</v>
      </c>
    </row>
    <row r="373" ht="14.25" customHeight="1">
      <c r="A373" s="10" t="s">
        <v>408</v>
      </c>
      <c r="B373" s="10">
        <v>0.0</v>
      </c>
      <c r="C373" s="10">
        <v>0.0</v>
      </c>
      <c r="D373" s="10">
        <v>0.0</v>
      </c>
      <c r="E373" s="10">
        <v>1.0</v>
      </c>
      <c r="F373" s="10">
        <v>1.0</v>
      </c>
      <c r="G373" s="10">
        <v>0.0</v>
      </c>
      <c r="H373" s="14">
        <v>0.96</v>
      </c>
      <c r="I373" s="7">
        <f t="shared" si="1"/>
        <v>1</v>
      </c>
      <c r="J373" s="10" t="str">
        <f>IF(MAX(B373,E373)&gt;=Thresholds!$C$7,"Tier 3 - High",IF(MAX(B373,E373)&gt;=Thresholds!$C$6,"Tier 2 - Moderate","Tier 1 - Low"))</f>
        <v>Tier 1 - Low</v>
      </c>
      <c r="K373" s="7" t="str">
        <f t="shared" si="2"/>
        <v>Low Volume - Setup Needed</v>
      </c>
      <c r="L373" s="10" t="str">
        <f t="shared" si="3"/>
        <v>Low/no B2B traffic yet - set a Business Price (5-10% below retail) and Quantity Discount tiers (e.g. 5+ units 5% off, 10+ units 10% off) to attract first B2B interest; add bulk/case-pack info to title and bullets</v>
      </c>
    </row>
    <row r="374" ht="14.25" customHeight="1">
      <c r="A374" s="10" t="s">
        <v>409</v>
      </c>
      <c r="B374" s="10">
        <v>0.0</v>
      </c>
      <c r="C374" s="10">
        <v>0.0</v>
      </c>
      <c r="D374" s="10">
        <v>0.0</v>
      </c>
      <c r="E374" s="10">
        <v>1.0</v>
      </c>
      <c r="F374" s="10">
        <v>2.0</v>
      </c>
      <c r="G374" s="10">
        <v>0.0</v>
      </c>
      <c r="H374" s="14">
        <v>1.0</v>
      </c>
      <c r="I374" s="7">
        <f t="shared" si="1"/>
        <v>1</v>
      </c>
      <c r="J374" s="10" t="str">
        <f>IF(MAX(B374,E374)&gt;=Thresholds!$C$7,"Tier 3 - High",IF(MAX(B374,E374)&gt;=Thresholds!$C$6,"Tier 2 - Moderate","Tier 1 - Low"))</f>
        <v>Tier 1 - Low</v>
      </c>
      <c r="K374" s="7" t="str">
        <f t="shared" si="2"/>
        <v>Low Volume - Setup Needed</v>
      </c>
      <c r="L374" s="10" t="str">
        <f t="shared" si="3"/>
        <v>Low/no B2B traffic yet - set a Business Price (5-10% below retail) and Quantity Discount tiers (e.g. 5+ units 5% off, 10+ units 10% off) to attract first B2B interest; add bulk/case-pack info to title and bullets</v>
      </c>
    </row>
    <row r="375" ht="14.25" customHeight="1">
      <c r="A375" s="10" t="s">
        <v>410</v>
      </c>
      <c r="B375" s="10">
        <v>0.0</v>
      </c>
      <c r="C375" s="10">
        <v>0.0</v>
      </c>
      <c r="D375" s="10">
        <v>0.0</v>
      </c>
      <c r="E375" s="10">
        <v>1.0</v>
      </c>
      <c r="F375" s="10">
        <v>1.0</v>
      </c>
      <c r="G375" s="10">
        <v>0.0</v>
      </c>
      <c r="H375" s="14">
        <v>1.0</v>
      </c>
      <c r="I375" s="7">
        <f t="shared" si="1"/>
        <v>1</v>
      </c>
      <c r="J375" s="10" t="str">
        <f>IF(MAX(B375,E375)&gt;=Thresholds!$C$7,"Tier 3 - High",IF(MAX(B375,E375)&gt;=Thresholds!$C$6,"Tier 2 - Moderate","Tier 1 - Low"))</f>
        <v>Tier 1 - Low</v>
      </c>
      <c r="K375" s="7" t="str">
        <f t="shared" si="2"/>
        <v>Low Volume - Setup Needed</v>
      </c>
      <c r="L375" s="10" t="str">
        <f t="shared" si="3"/>
        <v>Low/no B2B traffic yet - set a Business Price (5-10% below retail) and Quantity Discount tiers (e.g. 5+ units 5% off, 10+ units 10% off) to attract first B2B interest; add bulk/case-pack info to title and bullets</v>
      </c>
    </row>
    <row r="376" ht="14.25" customHeight="1">
      <c r="A376" s="10" t="s">
        <v>411</v>
      </c>
      <c r="B376" s="10">
        <v>0.0</v>
      </c>
      <c r="C376" s="10">
        <v>0.0</v>
      </c>
      <c r="D376" s="10">
        <v>0.0</v>
      </c>
      <c r="E376" s="10">
        <v>1.0</v>
      </c>
      <c r="F376" s="10">
        <v>1.0</v>
      </c>
      <c r="G376" s="10">
        <v>0.0</v>
      </c>
      <c r="H376" s="14">
        <v>1.0</v>
      </c>
      <c r="I376" s="7">
        <f t="shared" si="1"/>
        <v>1</v>
      </c>
      <c r="J376" s="10" t="str">
        <f>IF(MAX(B376,E376)&gt;=Thresholds!$C$7,"Tier 3 - High",IF(MAX(B376,E376)&gt;=Thresholds!$C$6,"Tier 2 - Moderate","Tier 1 - Low"))</f>
        <v>Tier 1 - Low</v>
      </c>
      <c r="K376" s="7" t="str">
        <f t="shared" si="2"/>
        <v>Low Volume - Setup Needed</v>
      </c>
      <c r="L376" s="10" t="str">
        <f t="shared" si="3"/>
        <v>Low/no B2B traffic yet - set a Business Price (5-10% below retail) and Quantity Discount tiers (e.g. 5+ units 5% off, 10+ units 10% off) to attract first B2B interest; add bulk/case-pack info to title and bullets</v>
      </c>
    </row>
    <row r="377" ht="14.25" customHeight="1">
      <c r="A377" s="10" t="s">
        <v>412</v>
      </c>
      <c r="B377" s="10">
        <v>0.0</v>
      </c>
      <c r="C377" s="10">
        <v>0.0</v>
      </c>
      <c r="D377" s="10">
        <v>0.0</v>
      </c>
      <c r="E377" s="10">
        <v>1.0</v>
      </c>
      <c r="F377" s="10">
        <v>5.0</v>
      </c>
      <c r="G377" s="10">
        <v>1.0</v>
      </c>
      <c r="H377" s="14">
        <v>1.0</v>
      </c>
      <c r="I377" s="7">
        <f t="shared" si="1"/>
        <v>1</v>
      </c>
      <c r="J377" s="10" t="str">
        <f>IF(MAX(B377,E377)&gt;=Thresholds!$C$7,"Tier 3 - High",IF(MAX(B377,E377)&gt;=Thresholds!$C$6,"Tier 2 - Moderate","Tier 1 - Low"))</f>
        <v>Tier 1 - Low</v>
      </c>
      <c r="K377" s="7" t="str">
        <f t="shared" si="2"/>
        <v>Low Volume - Setup Needed</v>
      </c>
      <c r="L377" s="10" t="str">
        <f t="shared" si="3"/>
        <v>Low/no B2B traffic yet - set a Business Price (5-10% below retail) and Quantity Discount tiers (e.g. 5+ units 5% off, 10+ units 10% off) to attract first B2B interest; add bulk/case-pack info to title and bullets</v>
      </c>
    </row>
    <row r="378" ht="14.25" customHeight="1">
      <c r="A378" s="10" t="s">
        <v>413</v>
      </c>
      <c r="B378" s="10">
        <v>0.0</v>
      </c>
      <c r="C378" s="10">
        <v>0.0</v>
      </c>
      <c r="D378" s="10">
        <v>0.0</v>
      </c>
      <c r="E378" s="10">
        <v>1.0</v>
      </c>
      <c r="F378" s="10">
        <v>2.0</v>
      </c>
      <c r="G378" s="10">
        <v>0.0</v>
      </c>
      <c r="H378" s="14">
        <v>0.0</v>
      </c>
      <c r="I378" s="7">
        <f t="shared" si="1"/>
        <v>1</v>
      </c>
      <c r="J378" s="10" t="str">
        <f>IF(MAX(B378,E378)&gt;=Thresholds!$C$7,"Tier 3 - High",IF(MAX(B378,E378)&gt;=Thresholds!$C$6,"Tier 2 - Moderate","Tier 1 - Low"))</f>
        <v>Tier 1 - Low</v>
      </c>
      <c r="K378" s="7" t="str">
        <f t="shared" si="2"/>
        <v>Low Volume - Setup Needed</v>
      </c>
      <c r="L378" s="10" t="str">
        <f t="shared" si="3"/>
        <v>Low/no B2B traffic yet - set a Business Price (5-10% below retail) and Quantity Discount tiers (e.g. 5+ units 5% off, 10+ units 10% off) to attract first B2B interest; add bulk/case-pack info to title and bullets</v>
      </c>
    </row>
    <row r="379" ht="14.25" customHeight="1">
      <c r="A379" s="10" t="s">
        <v>414</v>
      </c>
      <c r="B379" s="10">
        <v>0.0</v>
      </c>
      <c r="C379" s="10">
        <v>0.0</v>
      </c>
      <c r="D379" s="10">
        <v>0.0</v>
      </c>
      <c r="E379" s="10">
        <v>1.0</v>
      </c>
      <c r="F379" s="10">
        <v>1.0</v>
      </c>
      <c r="G379" s="10">
        <v>0.0</v>
      </c>
      <c r="H379" s="14">
        <v>1.0</v>
      </c>
      <c r="I379" s="7">
        <f t="shared" si="1"/>
        <v>1</v>
      </c>
      <c r="J379" s="10" t="str">
        <f>IF(MAX(B379,E379)&gt;=Thresholds!$C$7,"Tier 3 - High",IF(MAX(B379,E379)&gt;=Thresholds!$C$6,"Tier 2 - Moderate","Tier 1 - Low"))</f>
        <v>Tier 1 - Low</v>
      </c>
      <c r="K379" s="7" t="str">
        <f t="shared" si="2"/>
        <v>Low Volume - Setup Needed</v>
      </c>
      <c r="L379" s="10" t="str">
        <f t="shared" si="3"/>
        <v>Low/no B2B traffic yet - set a Business Price (5-10% below retail) and Quantity Discount tiers (e.g. 5+ units 5% off, 10+ units 10% off) to attract first B2B interest; add bulk/case-pack info to title and bullets</v>
      </c>
    </row>
    <row r="380" ht="14.25" customHeight="1">
      <c r="A380" s="10" t="s">
        <v>415</v>
      </c>
      <c r="B380" s="10">
        <v>1.0</v>
      </c>
      <c r="C380" s="10">
        <v>1.0</v>
      </c>
      <c r="D380" s="10">
        <v>0.0</v>
      </c>
      <c r="E380" s="10">
        <v>2.0</v>
      </c>
      <c r="F380" s="10">
        <v>3.0</v>
      </c>
      <c r="G380" s="10">
        <v>0.0</v>
      </c>
      <c r="H380" s="14">
        <v>0.9787</v>
      </c>
      <c r="I380" s="7">
        <f t="shared" si="1"/>
        <v>1</v>
      </c>
      <c r="J380" s="10" t="str">
        <f>IF(MAX(B380,E380)&gt;=Thresholds!$C$7,"Tier 3 - High",IF(MAX(B380,E380)&gt;=Thresholds!$C$6,"Tier 2 - Moderate","Tier 1 - Low"))</f>
        <v>Tier 1 - Low</v>
      </c>
      <c r="K380" s="7" t="str">
        <f t="shared" si="2"/>
        <v>Low Volume - Setup Needed</v>
      </c>
      <c r="L380" s="10" t="str">
        <f t="shared" si="3"/>
        <v>Low/no B2B traffic yet - set a Business Price (5-10% below retail) and Quantity Discount tiers (e.g. 5+ units 5% off, 10+ units 10% off) to attract first B2B interest; add bulk/case-pack info to title and bullets</v>
      </c>
    </row>
    <row r="381" ht="14.25" customHeight="1">
      <c r="A381" s="10" t="s">
        <v>416</v>
      </c>
      <c r="B381" s="10">
        <v>0.0</v>
      </c>
      <c r="C381" s="10">
        <v>0.0</v>
      </c>
      <c r="D381" s="10">
        <v>0.0</v>
      </c>
      <c r="E381" s="10">
        <v>1.0</v>
      </c>
      <c r="F381" s="10">
        <v>1.0</v>
      </c>
      <c r="G381" s="10">
        <v>0.0</v>
      </c>
      <c r="H381" s="14">
        <v>1.0</v>
      </c>
      <c r="I381" s="7">
        <f t="shared" si="1"/>
        <v>1</v>
      </c>
      <c r="J381" s="10" t="str">
        <f>IF(MAX(B381,E381)&gt;=Thresholds!$C$7,"Tier 3 - High",IF(MAX(B381,E381)&gt;=Thresholds!$C$6,"Tier 2 - Moderate","Tier 1 - Low"))</f>
        <v>Tier 1 - Low</v>
      </c>
      <c r="K381" s="7" t="str">
        <f t="shared" si="2"/>
        <v>Low Volume - Setup Needed</v>
      </c>
      <c r="L381" s="10" t="str">
        <f t="shared" si="3"/>
        <v>Low/no B2B traffic yet - set a Business Price (5-10% below retail) and Quantity Discount tiers (e.g. 5+ units 5% off, 10+ units 10% off) to attract first B2B interest; add bulk/case-pack info to title and bullets</v>
      </c>
    </row>
    <row r="382" ht="14.25" customHeight="1">
      <c r="A382" s="10" t="s">
        <v>417</v>
      </c>
      <c r="B382" s="10">
        <v>1.0</v>
      </c>
      <c r="C382" s="10">
        <v>4.0</v>
      </c>
      <c r="D382" s="10">
        <v>0.0</v>
      </c>
      <c r="E382" s="10">
        <v>2.0</v>
      </c>
      <c r="F382" s="10">
        <v>3.0</v>
      </c>
      <c r="G382" s="10">
        <v>0.0</v>
      </c>
      <c r="H382" s="14">
        <v>0.9744</v>
      </c>
      <c r="I382" s="7">
        <f t="shared" si="1"/>
        <v>1</v>
      </c>
      <c r="J382" s="10" t="str">
        <f>IF(MAX(B382,E382)&gt;=Thresholds!$C$7,"Tier 3 - High",IF(MAX(B382,E382)&gt;=Thresholds!$C$6,"Tier 2 - Moderate","Tier 1 - Low"))</f>
        <v>Tier 1 - Low</v>
      </c>
      <c r="K382" s="7" t="str">
        <f t="shared" si="2"/>
        <v>Low Volume - Setup Needed</v>
      </c>
      <c r="L382" s="10" t="str">
        <f t="shared" si="3"/>
        <v>Low/no B2B traffic yet - set a Business Price (5-10% below retail) and Quantity Discount tiers (e.g. 5+ units 5% off, 10+ units 10% off) to attract first B2B interest; add bulk/case-pack info to title and bullets</v>
      </c>
    </row>
    <row r="383" ht="14.25" customHeight="1">
      <c r="A383" s="10" t="s">
        <v>418</v>
      </c>
      <c r="B383" s="10">
        <v>0.0</v>
      </c>
      <c r="C383" s="10">
        <v>0.0</v>
      </c>
      <c r="D383" s="10">
        <v>0.0</v>
      </c>
      <c r="E383" s="10">
        <v>1.0</v>
      </c>
      <c r="F383" s="10">
        <v>1.0</v>
      </c>
      <c r="G383" s="10">
        <v>0.0</v>
      </c>
      <c r="H383" s="14">
        <v>1.0</v>
      </c>
      <c r="I383" s="7">
        <f t="shared" si="1"/>
        <v>1</v>
      </c>
      <c r="J383" s="10" t="str">
        <f>IF(MAX(B383,E383)&gt;=Thresholds!$C$7,"Tier 3 - High",IF(MAX(B383,E383)&gt;=Thresholds!$C$6,"Tier 2 - Moderate","Tier 1 - Low"))</f>
        <v>Tier 1 - Low</v>
      </c>
      <c r="K383" s="7" t="str">
        <f t="shared" si="2"/>
        <v>Low Volume - Setup Needed</v>
      </c>
      <c r="L383" s="10" t="str">
        <f t="shared" si="3"/>
        <v>Low/no B2B traffic yet - set a Business Price (5-10% below retail) and Quantity Discount tiers (e.g. 5+ units 5% off, 10+ units 10% off) to attract first B2B interest; add bulk/case-pack info to title and bullets</v>
      </c>
    </row>
    <row r="384" ht="14.25" customHeight="1">
      <c r="A384" s="10" t="s">
        <v>419</v>
      </c>
      <c r="B384" s="10">
        <v>0.0</v>
      </c>
      <c r="C384" s="10">
        <v>0.0</v>
      </c>
      <c r="D384" s="10">
        <v>0.0</v>
      </c>
      <c r="E384" s="10">
        <v>1.0</v>
      </c>
      <c r="F384" s="10">
        <v>3.0</v>
      </c>
      <c r="G384" s="10">
        <v>0.0</v>
      </c>
      <c r="H384" s="14">
        <v>1.0</v>
      </c>
      <c r="I384" s="7">
        <f t="shared" si="1"/>
        <v>1</v>
      </c>
      <c r="J384" s="10" t="str">
        <f>IF(MAX(B384,E384)&gt;=Thresholds!$C$7,"Tier 3 - High",IF(MAX(B384,E384)&gt;=Thresholds!$C$6,"Tier 2 - Moderate","Tier 1 - Low"))</f>
        <v>Tier 1 - Low</v>
      </c>
      <c r="K384" s="7" t="str">
        <f t="shared" si="2"/>
        <v>Low Volume - Setup Needed</v>
      </c>
      <c r="L384" s="10" t="str">
        <f t="shared" si="3"/>
        <v>Low/no B2B traffic yet - set a Business Price (5-10% below retail) and Quantity Discount tiers (e.g. 5+ units 5% off, 10+ units 10% off) to attract first B2B interest; add bulk/case-pack info to title and bullets</v>
      </c>
    </row>
    <row r="385" ht="14.25" customHeight="1">
      <c r="A385" s="10" t="s">
        <v>420</v>
      </c>
      <c r="B385" s="10">
        <v>0.0</v>
      </c>
      <c r="C385" s="10">
        <v>0.0</v>
      </c>
      <c r="D385" s="10">
        <v>0.0</v>
      </c>
      <c r="E385" s="10">
        <v>1.0</v>
      </c>
      <c r="F385" s="10">
        <v>2.0</v>
      </c>
      <c r="G385" s="10">
        <v>0.0</v>
      </c>
      <c r="H385" s="14">
        <v>1.0</v>
      </c>
      <c r="I385" s="7">
        <f t="shared" si="1"/>
        <v>1</v>
      </c>
      <c r="J385" s="10" t="str">
        <f>IF(MAX(B385,E385)&gt;=Thresholds!$C$7,"Tier 3 - High",IF(MAX(B385,E385)&gt;=Thresholds!$C$6,"Tier 2 - Moderate","Tier 1 - Low"))</f>
        <v>Tier 1 - Low</v>
      </c>
      <c r="K385" s="7" t="str">
        <f t="shared" si="2"/>
        <v>Low Volume - Setup Needed</v>
      </c>
      <c r="L385" s="10" t="str">
        <f t="shared" si="3"/>
        <v>Low/no B2B traffic yet - set a Business Price (5-10% below retail) and Quantity Discount tiers (e.g. 5+ units 5% off, 10+ units 10% off) to attract first B2B interest; add bulk/case-pack info to title and bullets</v>
      </c>
    </row>
    <row r="386" ht="14.25" customHeight="1">
      <c r="A386" s="10" t="s">
        <v>421</v>
      </c>
      <c r="B386" s="10">
        <v>0.0</v>
      </c>
      <c r="C386" s="10">
        <v>0.0</v>
      </c>
      <c r="D386" s="10">
        <v>0.0</v>
      </c>
      <c r="E386" s="10">
        <v>1.0</v>
      </c>
      <c r="F386" s="10">
        <v>1.0</v>
      </c>
      <c r="G386" s="10">
        <v>0.0</v>
      </c>
      <c r="H386" s="14">
        <v>0.9697</v>
      </c>
      <c r="I386" s="7">
        <f t="shared" si="1"/>
        <v>1</v>
      </c>
      <c r="J386" s="10" t="str">
        <f>IF(MAX(B386,E386)&gt;=Thresholds!$C$7,"Tier 3 - High",IF(MAX(B386,E386)&gt;=Thresholds!$C$6,"Tier 2 - Moderate","Tier 1 - Low"))</f>
        <v>Tier 1 - Low</v>
      </c>
      <c r="K386" s="7" t="str">
        <f t="shared" si="2"/>
        <v>Low Volume - Setup Needed</v>
      </c>
      <c r="L386" s="10" t="str">
        <f t="shared" si="3"/>
        <v>Low/no B2B traffic yet - set a Business Price (5-10% below retail) and Quantity Discount tiers (e.g. 5+ units 5% off, 10+ units 10% off) to attract first B2B interest; add bulk/case-pack info to title and bullets</v>
      </c>
    </row>
    <row r="387" ht="14.25" customHeight="1">
      <c r="A387" s="10" t="s">
        <v>422</v>
      </c>
      <c r="B387" s="10">
        <v>0.0</v>
      </c>
      <c r="C387" s="10">
        <v>0.0</v>
      </c>
      <c r="D387" s="10">
        <v>0.0</v>
      </c>
      <c r="E387" s="10">
        <v>1.0</v>
      </c>
      <c r="F387" s="10">
        <v>1.0</v>
      </c>
      <c r="G387" s="10">
        <v>0.0</v>
      </c>
      <c r="H387" s="14">
        <v>1.0</v>
      </c>
      <c r="I387" s="7">
        <f t="shared" si="1"/>
        <v>1</v>
      </c>
      <c r="J387" s="10" t="str">
        <f>IF(MAX(B387,E387)&gt;=Thresholds!$C$7,"Tier 3 - High",IF(MAX(B387,E387)&gt;=Thresholds!$C$6,"Tier 2 - Moderate","Tier 1 - Low"))</f>
        <v>Tier 1 - Low</v>
      </c>
      <c r="K387" s="7" t="str">
        <f t="shared" si="2"/>
        <v>Low Volume - Setup Needed</v>
      </c>
      <c r="L387" s="10" t="str">
        <f t="shared" si="3"/>
        <v>Low/no B2B traffic yet - set a Business Price (5-10% below retail) and Quantity Discount tiers (e.g. 5+ units 5% off, 10+ units 10% off) to attract first B2B interest; add bulk/case-pack info to title and bullets</v>
      </c>
    </row>
    <row r="388" ht="14.25" customHeight="1">
      <c r="A388" s="10" t="s">
        <v>423</v>
      </c>
      <c r="B388" s="10">
        <v>0.0</v>
      </c>
      <c r="C388" s="10">
        <v>0.0</v>
      </c>
      <c r="D388" s="10">
        <v>0.0</v>
      </c>
      <c r="E388" s="10">
        <v>1.0</v>
      </c>
      <c r="F388" s="10">
        <v>2.0</v>
      </c>
      <c r="G388" s="10">
        <v>0.0</v>
      </c>
      <c r="H388" s="14">
        <v>0.9583</v>
      </c>
      <c r="I388" s="7">
        <f t="shared" si="1"/>
        <v>1</v>
      </c>
      <c r="J388" s="10" t="str">
        <f>IF(MAX(B388,E388)&gt;=Thresholds!$C$7,"Tier 3 - High",IF(MAX(B388,E388)&gt;=Thresholds!$C$6,"Tier 2 - Moderate","Tier 1 - Low"))</f>
        <v>Tier 1 - Low</v>
      </c>
      <c r="K388" s="7" t="str">
        <f t="shared" si="2"/>
        <v>Low Volume - Setup Needed</v>
      </c>
      <c r="L388" s="10" t="str">
        <f t="shared" si="3"/>
        <v>Low/no B2B traffic yet - set a Business Price (5-10% below retail) and Quantity Discount tiers (e.g. 5+ units 5% off, 10+ units 10% off) to attract first B2B interest; add bulk/case-pack info to title and bullets</v>
      </c>
    </row>
    <row r="389" ht="14.25" customHeight="1">
      <c r="A389" s="10" t="s">
        <v>424</v>
      </c>
      <c r="B389" s="10">
        <v>0.0</v>
      </c>
      <c r="C389" s="10">
        <v>0.0</v>
      </c>
      <c r="D389" s="10">
        <v>0.0</v>
      </c>
      <c r="E389" s="10">
        <v>1.0</v>
      </c>
      <c r="F389" s="10">
        <v>1.0</v>
      </c>
      <c r="G389" s="10">
        <v>0.0</v>
      </c>
      <c r="H389" s="14">
        <v>0.9231</v>
      </c>
      <c r="I389" s="7">
        <f t="shared" si="1"/>
        <v>1</v>
      </c>
      <c r="J389" s="10" t="str">
        <f>IF(MAX(B389,E389)&gt;=Thresholds!$C$7,"Tier 3 - High",IF(MAX(B389,E389)&gt;=Thresholds!$C$6,"Tier 2 - Moderate","Tier 1 - Low"))</f>
        <v>Tier 1 - Low</v>
      </c>
      <c r="K389" s="7" t="str">
        <f t="shared" si="2"/>
        <v>Low Volume - Setup Needed</v>
      </c>
      <c r="L389" s="10" t="str">
        <f t="shared" si="3"/>
        <v>Low/no B2B traffic yet - set a Business Price (5-10% below retail) and Quantity Discount tiers (e.g. 5+ units 5% off, 10+ units 10% off) to attract first B2B interest; add bulk/case-pack info to title and bullets</v>
      </c>
    </row>
    <row r="390" ht="14.25" customHeight="1">
      <c r="A390" s="10" t="s">
        <v>425</v>
      </c>
      <c r="B390" s="10">
        <v>0.0</v>
      </c>
      <c r="C390" s="10">
        <v>0.0</v>
      </c>
      <c r="D390" s="10">
        <v>0.0</v>
      </c>
      <c r="E390" s="10">
        <v>1.0</v>
      </c>
      <c r="F390" s="10">
        <v>1.0</v>
      </c>
      <c r="G390" s="10">
        <v>0.0</v>
      </c>
      <c r="H390" s="14">
        <v>0.8421</v>
      </c>
      <c r="I390" s="7">
        <f t="shared" si="1"/>
        <v>1</v>
      </c>
      <c r="J390" s="10" t="str">
        <f>IF(MAX(B390,E390)&gt;=Thresholds!$C$7,"Tier 3 - High",IF(MAX(B390,E390)&gt;=Thresholds!$C$6,"Tier 2 - Moderate","Tier 1 - Low"))</f>
        <v>Tier 1 - Low</v>
      </c>
      <c r="K390" s="7" t="str">
        <f t="shared" si="2"/>
        <v>Low Volume - Setup Needed</v>
      </c>
      <c r="L390" s="10" t="str">
        <f t="shared" si="3"/>
        <v>Low/no B2B traffic yet - set a Business Price (5-10% below retail) and Quantity Discount tiers (e.g. 5+ units 5% off, 10+ units 10% off) to attract first B2B interest; add bulk/case-pack info to title and bullets</v>
      </c>
    </row>
    <row r="391" ht="14.25" customHeight="1">
      <c r="A391" s="10" t="s">
        <v>426</v>
      </c>
      <c r="B391" s="10">
        <v>1.0</v>
      </c>
      <c r="C391" s="10">
        <v>1.0</v>
      </c>
      <c r="D391" s="10">
        <v>0.0</v>
      </c>
      <c r="E391" s="10">
        <v>2.0</v>
      </c>
      <c r="F391" s="10">
        <v>2.0</v>
      </c>
      <c r="G391" s="10">
        <v>0.0</v>
      </c>
      <c r="H391" s="14">
        <v>1.0</v>
      </c>
      <c r="I391" s="7">
        <f t="shared" si="1"/>
        <v>1</v>
      </c>
      <c r="J391" s="10" t="str">
        <f>IF(MAX(B391,E391)&gt;=Thresholds!$C$7,"Tier 3 - High",IF(MAX(B391,E391)&gt;=Thresholds!$C$6,"Tier 2 - Moderate","Tier 1 - Low"))</f>
        <v>Tier 1 - Low</v>
      </c>
      <c r="K391" s="7" t="str">
        <f t="shared" si="2"/>
        <v>Low Volume - Setup Needed</v>
      </c>
      <c r="L391" s="10" t="str">
        <f t="shared" si="3"/>
        <v>Low/no B2B traffic yet - set a Business Price (5-10% below retail) and Quantity Discount tiers (e.g. 5+ units 5% off, 10+ units 10% off) to attract first B2B interest; add bulk/case-pack info to title and bullets</v>
      </c>
    </row>
    <row r="392" ht="14.25" customHeight="1">
      <c r="A392" s="10" t="s">
        <v>427</v>
      </c>
      <c r="B392" s="10">
        <v>0.0</v>
      </c>
      <c r="C392" s="10">
        <v>0.0</v>
      </c>
      <c r="D392" s="10">
        <v>0.0</v>
      </c>
      <c r="E392" s="10">
        <v>1.0</v>
      </c>
      <c r="F392" s="10">
        <v>1.0</v>
      </c>
      <c r="G392" s="10">
        <v>0.0</v>
      </c>
      <c r="H392" s="14">
        <v>0.9615</v>
      </c>
      <c r="I392" s="7">
        <f t="shared" si="1"/>
        <v>1</v>
      </c>
      <c r="J392" s="10" t="str">
        <f>IF(MAX(B392,E392)&gt;=Thresholds!$C$7,"Tier 3 - High",IF(MAX(B392,E392)&gt;=Thresholds!$C$6,"Tier 2 - Moderate","Tier 1 - Low"))</f>
        <v>Tier 1 - Low</v>
      </c>
      <c r="K392" s="7" t="str">
        <f t="shared" si="2"/>
        <v>Low Volume - Setup Needed</v>
      </c>
      <c r="L392" s="10" t="str">
        <f t="shared" si="3"/>
        <v>Low/no B2B traffic yet - set a Business Price (5-10% below retail) and Quantity Discount tiers (e.g. 5+ units 5% off, 10+ units 10% off) to attract first B2B interest; add bulk/case-pack info to title and bullets</v>
      </c>
    </row>
    <row r="393" ht="14.25" customHeight="1">
      <c r="A393" s="10" t="s">
        <v>428</v>
      </c>
      <c r="B393" s="10">
        <v>0.0</v>
      </c>
      <c r="C393" s="10">
        <v>0.0</v>
      </c>
      <c r="D393" s="10">
        <v>0.0</v>
      </c>
      <c r="E393" s="10">
        <v>1.0</v>
      </c>
      <c r="F393" s="10">
        <v>1.0</v>
      </c>
      <c r="G393" s="10">
        <v>0.0</v>
      </c>
      <c r="H393" s="14">
        <v>1.0</v>
      </c>
      <c r="I393" s="7">
        <f t="shared" si="1"/>
        <v>1</v>
      </c>
      <c r="J393" s="10" t="str">
        <f>IF(MAX(B393,E393)&gt;=Thresholds!$C$7,"Tier 3 - High",IF(MAX(B393,E393)&gt;=Thresholds!$C$6,"Tier 2 - Moderate","Tier 1 - Low"))</f>
        <v>Tier 1 - Low</v>
      </c>
      <c r="K393" s="7" t="str">
        <f t="shared" si="2"/>
        <v>Low Volume - Setup Needed</v>
      </c>
      <c r="L393" s="10" t="str">
        <f t="shared" si="3"/>
        <v>Low/no B2B traffic yet - set a Business Price (5-10% below retail) and Quantity Discount tiers (e.g. 5+ units 5% off, 10+ units 10% off) to attract first B2B interest; add bulk/case-pack info to title and bullets</v>
      </c>
    </row>
    <row r="394" ht="14.25" customHeight="1">
      <c r="A394" s="10" t="s">
        <v>429</v>
      </c>
      <c r="B394" s="10">
        <v>0.0</v>
      </c>
      <c r="C394" s="10">
        <v>0.0</v>
      </c>
      <c r="D394" s="10">
        <v>0.0</v>
      </c>
      <c r="E394" s="10">
        <v>1.0</v>
      </c>
      <c r="F394" s="10">
        <v>1.0</v>
      </c>
      <c r="G394" s="10">
        <v>0.0</v>
      </c>
      <c r="H394" s="14">
        <v>1.0</v>
      </c>
      <c r="I394" s="7">
        <f t="shared" si="1"/>
        <v>1</v>
      </c>
      <c r="J394" s="10" t="str">
        <f>IF(MAX(B394,E394)&gt;=Thresholds!$C$7,"Tier 3 - High",IF(MAX(B394,E394)&gt;=Thresholds!$C$6,"Tier 2 - Moderate","Tier 1 - Low"))</f>
        <v>Tier 1 - Low</v>
      </c>
      <c r="K394" s="7" t="str">
        <f t="shared" si="2"/>
        <v>Low Volume - Setup Needed</v>
      </c>
      <c r="L394" s="10" t="str">
        <f t="shared" si="3"/>
        <v>Low/no B2B traffic yet - set a Business Price (5-10% below retail) and Quantity Discount tiers (e.g. 5+ units 5% off, 10+ units 10% off) to attract first B2B interest; add bulk/case-pack info to title and bullets</v>
      </c>
    </row>
    <row r="395" ht="14.25" customHeight="1">
      <c r="A395" s="10" t="s">
        <v>430</v>
      </c>
      <c r="B395" s="10">
        <v>0.0</v>
      </c>
      <c r="C395" s="10">
        <v>0.0</v>
      </c>
      <c r="D395" s="10">
        <v>0.0</v>
      </c>
      <c r="E395" s="10">
        <v>1.0</v>
      </c>
      <c r="F395" s="10">
        <v>2.0</v>
      </c>
      <c r="G395" s="10">
        <v>0.0</v>
      </c>
      <c r="H395" s="14">
        <v>1.0</v>
      </c>
      <c r="I395" s="7">
        <f t="shared" si="1"/>
        <v>1</v>
      </c>
      <c r="J395" s="10" t="str">
        <f>IF(MAX(B395,E395)&gt;=Thresholds!$C$7,"Tier 3 - High",IF(MAX(B395,E395)&gt;=Thresholds!$C$6,"Tier 2 - Moderate","Tier 1 - Low"))</f>
        <v>Tier 1 - Low</v>
      </c>
      <c r="K395" s="7" t="str">
        <f t="shared" si="2"/>
        <v>Low Volume - Setup Needed</v>
      </c>
      <c r="L395" s="10" t="str">
        <f t="shared" si="3"/>
        <v>Low/no B2B traffic yet - set a Business Price (5-10% below retail) and Quantity Discount tiers (e.g. 5+ units 5% off, 10+ units 10% off) to attract first B2B interest; add bulk/case-pack info to title and bullets</v>
      </c>
    </row>
    <row r="396" ht="14.25" customHeight="1">
      <c r="A396" s="10" t="s">
        <v>431</v>
      </c>
      <c r="B396" s="10">
        <v>0.0</v>
      </c>
      <c r="C396" s="10">
        <v>0.0</v>
      </c>
      <c r="D396" s="10">
        <v>0.0</v>
      </c>
      <c r="E396" s="10">
        <v>1.0</v>
      </c>
      <c r="F396" s="10">
        <v>1.0</v>
      </c>
      <c r="G396" s="10">
        <v>0.0</v>
      </c>
      <c r="H396" s="14">
        <v>0.2</v>
      </c>
      <c r="I396" s="7">
        <f t="shared" si="1"/>
        <v>1</v>
      </c>
      <c r="J396" s="10" t="str">
        <f>IF(MAX(B396,E396)&gt;=Thresholds!$C$7,"Tier 3 - High",IF(MAX(B396,E396)&gt;=Thresholds!$C$6,"Tier 2 - Moderate","Tier 1 - Low"))</f>
        <v>Tier 1 - Low</v>
      </c>
      <c r="K396" s="7" t="str">
        <f t="shared" si="2"/>
        <v>Low Volume - Setup Needed</v>
      </c>
      <c r="L396" s="10" t="str">
        <f t="shared" si="3"/>
        <v>Low/no B2B traffic yet - set a Business Price (5-10% below retail) and Quantity Discount tiers (e.g. 5+ units 5% off, 10+ units 10% off) to attract first B2B interest; add bulk/case-pack info to title and bullets</v>
      </c>
    </row>
    <row r="397" ht="14.25" customHeight="1">
      <c r="A397" s="10" t="s">
        <v>432</v>
      </c>
      <c r="B397" s="10">
        <v>0.0</v>
      </c>
      <c r="C397" s="10">
        <v>0.0</v>
      </c>
      <c r="D397" s="10">
        <v>0.0</v>
      </c>
      <c r="E397" s="10">
        <v>1.0</v>
      </c>
      <c r="F397" s="10">
        <v>1.0</v>
      </c>
      <c r="G397" s="10">
        <v>0.0</v>
      </c>
      <c r="H397" s="14">
        <v>1.0</v>
      </c>
      <c r="I397" s="7">
        <f t="shared" si="1"/>
        <v>1</v>
      </c>
      <c r="J397" s="10" t="str">
        <f>IF(MAX(B397,E397)&gt;=Thresholds!$C$7,"Tier 3 - High",IF(MAX(B397,E397)&gt;=Thresholds!$C$6,"Tier 2 - Moderate","Tier 1 - Low"))</f>
        <v>Tier 1 - Low</v>
      </c>
      <c r="K397" s="7" t="str">
        <f t="shared" si="2"/>
        <v>Low Volume - Setup Needed</v>
      </c>
      <c r="L397" s="10" t="str">
        <f t="shared" si="3"/>
        <v>Low/no B2B traffic yet - set a Business Price (5-10% below retail) and Quantity Discount tiers (e.g. 5+ units 5% off, 10+ units 10% off) to attract first B2B interest; add bulk/case-pack info to title and bullets</v>
      </c>
    </row>
    <row r="398" ht="14.25" customHeight="1">
      <c r="A398" s="10" t="s">
        <v>433</v>
      </c>
      <c r="B398" s="10">
        <v>0.0</v>
      </c>
      <c r="C398" s="10">
        <v>0.0</v>
      </c>
      <c r="D398" s="10">
        <v>0.0</v>
      </c>
      <c r="E398" s="10">
        <v>1.0</v>
      </c>
      <c r="F398" s="10">
        <v>1.0</v>
      </c>
      <c r="G398" s="10">
        <v>0.0</v>
      </c>
      <c r="H398" s="14">
        <v>1.0</v>
      </c>
      <c r="I398" s="7">
        <f t="shared" si="1"/>
        <v>1</v>
      </c>
      <c r="J398" s="10" t="str">
        <f>IF(MAX(B398,E398)&gt;=Thresholds!$C$7,"Tier 3 - High",IF(MAX(B398,E398)&gt;=Thresholds!$C$6,"Tier 2 - Moderate","Tier 1 - Low"))</f>
        <v>Tier 1 - Low</v>
      </c>
      <c r="K398" s="7" t="str">
        <f t="shared" si="2"/>
        <v>Low Volume - Setup Needed</v>
      </c>
      <c r="L398" s="10" t="str">
        <f t="shared" si="3"/>
        <v>Low/no B2B traffic yet - set a Business Price (5-10% below retail) and Quantity Discount tiers (e.g. 5+ units 5% off, 10+ units 10% off) to attract first B2B interest; add bulk/case-pack info to title and bullets</v>
      </c>
    </row>
    <row r="399" ht="14.25" customHeight="1">
      <c r="A399" s="10" t="s">
        <v>434</v>
      </c>
      <c r="B399" s="10">
        <v>0.0</v>
      </c>
      <c r="C399" s="10">
        <v>0.0</v>
      </c>
      <c r="D399" s="10">
        <v>0.0</v>
      </c>
      <c r="E399" s="10">
        <v>1.0</v>
      </c>
      <c r="F399" s="10">
        <v>1.0</v>
      </c>
      <c r="G399" s="10">
        <v>0.0</v>
      </c>
      <c r="H399" s="14">
        <v>1.0</v>
      </c>
      <c r="I399" s="7">
        <f t="shared" si="1"/>
        <v>1</v>
      </c>
      <c r="J399" s="10" t="str">
        <f>IF(MAX(B399,E399)&gt;=Thresholds!$C$7,"Tier 3 - High",IF(MAX(B399,E399)&gt;=Thresholds!$C$6,"Tier 2 - Moderate","Tier 1 - Low"))</f>
        <v>Tier 1 - Low</v>
      </c>
      <c r="K399" s="7" t="str">
        <f t="shared" si="2"/>
        <v>Low Volume - Setup Needed</v>
      </c>
      <c r="L399" s="10" t="str">
        <f t="shared" si="3"/>
        <v>Low/no B2B traffic yet - set a Business Price (5-10% below retail) and Quantity Discount tiers (e.g. 5+ units 5% off, 10+ units 10% off) to attract first B2B interest; add bulk/case-pack info to title and bullets</v>
      </c>
    </row>
    <row r="400" ht="14.25" customHeight="1">
      <c r="A400" s="10" t="s">
        <v>435</v>
      </c>
      <c r="B400" s="10">
        <v>0.0</v>
      </c>
      <c r="C400" s="10">
        <v>0.0</v>
      </c>
      <c r="D400" s="10">
        <v>0.0</v>
      </c>
      <c r="E400" s="10">
        <v>1.0</v>
      </c>
      <c r="F400" s="10">
        <v>1.0</v>
      </c>
      <c r="G400" s="10">
        <v>0.0</v>
      </c>
      <c r="H400" s="14">
        <v>1.0</v>
      </c>
      <c r="I400" s="7">
        <f t="shared" si="1"/>
        <v>1</v>
      </c>
      <c r="J400" s="10" t="str">
        <f>IF(MAX(B400,E400)&gt;=Thresholds!$C$7,"Tier 3 - High",IF(MAX(B400,E400)&gt;=Thresholds!$C$6,"Tier 2 - Moderate","Tier 1 - Low"))</f>
        <v>Tier 1 - Low</v>
      </c>
      <c r="K400" s="7" t="str">
        <f t="shared" si="2"/>
        <v>Low Volume - Setup Needed</v>
      </c>
      <c r="L400" s="10" t="str">
        <f t="shared" si="3"/>
        <v>Low/no B2B traffic yet - set a Business Price (5-10% below retail) and Quantity Discount tiers (e.g. 5+ units 5% off, 10+ units 10% off) to attract first B2B interest; add bulk/case-pack info to title and bullets</v>
      </c>
    </row>
    <row r="401" ht="14.25" customHeight="1">
      <c r="A401" s="10" t="s">
        <v>436</v>
      </c>
      <c r="B401" s="10">
        <v>0.0</v>
      </c>
      <c r="C401" s="10">
        <v>0.0</v>
      </c>
      <c r="D401" s="10">
        <v>0.0</v>
      </c>
      <c r="E401" s="10">
        <v>1.0</v>
      </c>
      <c r="F401" s="10">
        <v>1.0</v>
      </c>
      <c r="G401" s="10">
        <v>0.0</v>
      </c>
      <c r="H401" s="14">
        <v>1.0</v>
      </c>
      <c r="I401" s="7">
        <f t="shared" si="1"/>
        <v>1</v>
      </c>
      <c r="J401" s="10" t="str">
        <f>IF(MAX(B401,E401)&gt;=Thresholds!$C$7,"Tier 3 - High",IF(MAX(B401,E401)&gt;=Thresholds!$C$6,"Tier 2 - Moderate","Tier 1 - Low"))</f>
        <v>Tier 1 - Low</v>
      </c>
      <c r="K401" s="7" t="str">
        <f t="shared" si="2"/>
        <v>Low Volume - Setup Needed</v>
      </c>
      <c r="L401" s="10" t="str">
        <f t="shared" si="3"/>
        <v>Low/no B2B traffic yet - set a Business Price (5-10% below retail) and Quantity Discount tiers (e.g. 5+ units 5% off, 10+ units 10% off) to attract first B2B interest; add bulk/case-pack info to title and bullets</v>
      </c>
    </row>
    <row r="402" ht="14.25" customHeight="1">
      <c r="A402" s="10" t="s">
        <v>437</v>
      </c>
      <c r="B402" s="10">
        <v>0.0</v>
      </c>
      <c r="C402" s="10">
        <v>0.0</v>
      </c>
      <c r="D402" s="10">
        <v>0.0</v>
      </c>
      <c r="E402" s="10">
        <v>1.0</v>
      </c>
      <c r="F402" s="10">
        <v>1.0</v>
      </c>
      <c r="G402" s="10">
        <v>0.0</v>
      </c>
      <c r="H402" s="14">
        <v>1.0</v>
      </c>
      <c r="I402" s="7">
        <f t="shared" si="1"/>
        <v>1</v>
      </c>
      <c r="J402" s="10" t="str">
        <f>IF(MAX(B402,E402)&gt;=Thresholds!$C$7,"Tier 3 - High",IF(MAX(B402,E402)&gt;=Thresholds!$C$6,"Tier 2 - Moderate","Tier 1 - Low"))</f>
        <v>Tier 1 - Low</v>
      </c>
      <c r="K402" s="7" t="str">
        <f t="shared" si="2"/>
        <v>Low Volume - Setup Needed</v>
      </c>
      <c r="L402" s="10" t="str">
        <f t="shared" si="3"/>
        <v>Low/no B2B traffic yet - set a Business Price (5-10% below retail) and Quantity Discount tiers (e.g. 5+ units 5% off, 10+ units 10% off) to attract first B2B interest; add bulk/case-pack info to title and bullets</v>
      </c>
    </row>
    <row r="403" ht="14.25" customHeight="1">
      <c r="A403" s="10" t="s">
        <v>438</v>
      </c>
      <c r="B403" s="10">
        <v>0.0</v>
      </c>
      <c r="C403" s="10">
        <v>0.0</v>
      </c>
      <c r="D403" s="10">
        <v>0.0</v>
      </c>
      <c r="E403" s="10">
        <v>1.0</v>
      </c>
      <c r="F403" s="10">
        <v>1.0</v>
      </c>
      <c r="G403" s="10">
        <v>0.0</v>
      </c>
      <c r="H403" s="14">
        <v>1.0</v>
      </c>
      <c r="I403" s="7">
        <f t="shared" si="1"/>
        <v>1</v>
      </c>
      <c r="J403" s="10" t="str">
        <f>IF(MAX(B403,E403)&gt;=Thresholds!$C$7,"Tier 3 - High",IF(MAX(B403,E403)&gt;=Thresholds!$C$6,"Tier 2 - Moderate","Tier 1 - Low"))</f>
        <v>Tier 1 - Low</v>
      </c>
      <c r="K403" s="7" t="str">
        <f t="shared" si="2"/>
        <v>Low Volume - Setup Needed</v>
      </c>
      <c r="L403" s="10" t="str">
        <f t="shared" si="3"/>
        <v>Low/no B2B traffic yet - set a Business Price (5-10% below retail) and Quantity Discount tiers (e.g. 5+ units 5% off, 10+ units 10% off) to attract first B2B interest; add bulk/case-pack info to title and bullets</v>
      </c>
    </row>
    <row r="404" ht="14.25" customHeight="1">
      <c r="A404" s="10" t="s">
        <v>439</v>
      </c>
      <c r="B404" s="10">
        <v>0.0</v>
      </c>
      <c r="C404" s="10">
        <v>0.0</v>
      </c>
      <c r="D404" s="10">
        <v>0.0</v>
      </c>
      <c r="E404" s="10">
        <v>1.0</v>
      </c>
      <c r="F404" s="10">
        <v>1.0</v>
      </c>
      <c r="G404" s="10">
        <v>0.0</v>
      </c>
      <c r="H404" s="14">
        <v>1.0</v>
      </c>
      <c r="I404" s="7">
        <f t="shared" si="1"/>
        <v>1</v>
      </c>
      <c r="J404" s="10" t="str">
        <f>IF(MAX(B404,E404)&gt;=Thresholds!$C$7,"Tier 3 - High",IF(MAX(B404,E404)&gt;=Thresholds!$C$6,"Tier 2 - Moderate","Tier 1 - Low"))</f>
        <v>Tier 1 - Low</v>
      </c>
      <c r="K404" s="7" t="str">
        <f t="shared" si="2"/>
        <v>Low Volume - Setup Needed</v>
      </c>
      <c r="L404" s="10" t="str">
        <f t="shared" si="3"/>
        <v>Low/no B2B traffic yet - set a Business Price (5-10% below retail) and Quantity Discount tiers (e.g. 5+ units 5% off, 10+ units 10% off) to attract first B2B interest; add bulk/case-pack info to title and bullets</v>
      </c>
    </row>
    <row r="405" ht="14.25" customHeight="1">
      <c r="A405" s="10" t="s">
        <v>440</v>
      </c>
      <c r="B405" s="10">
        <v>0.0</v>
      </c>
      <c r="C405" s="10">
        <v>0.0</v>
      </c>
      <c r="D405" s="10">
        <v>0.0</v>
      </c>
      <c r="E405" s="10">
        <v>1.0</v>
      </c>
      <c r="F405" s="10">
        <v>1.0</v>
      </c>
      <c r="G405" s="10">
        <v>0.0</v>
      </c>
      <c r="H405" s="14">
        <v>1.0</v>
      </c>
      <c r="I405" s="7">
        <f t="shared" si="1"/>
        <v>1</v>
      </c>
      <c r="J405" s="10" t="str">
        <f>IF(MAX(B405,E405)&gt;=Thresholds!$C$7,"Tier 3 - High",IF(MAX(B405,E405)&gt;=Thresholds!$C$6,"Tier 2 - Moderate","Tier 1 - Low"))</f>
        <v>Tier 1 - Low</v>
      </c>
      <c r="K405" s="7" t="str">
        <f t="shared" si="2"/>
        <v>Low Volume - Setup Needed</v>
      </c>
      <c r="L405" s="10" t="str">
        <f t="shared" si="3"/>
        <v>Low/no B2B traffic yet - set a Business Price (5-10% below retail) and Quantity Discount tiers (e.g. 5+ units 5% off, 10+ units 10% off) to attract first B2B interest; add bulk/case-pack info to title and bullets</v>
      </c>
    </row>
    <row r="406" ht="14.25" customHeight="1">
      <c r="A406" s="10" t="s">
        <v>441</v>
      </c>
      <c r="B406" s="10">
        <v>0.0</v>
      </c>
      <c r="C406" s="10">
        <v>0.0</v>
      </c>
      <c r="D406" s="10">
        <v>0.0</v>
      </c>
      <c r="E406" s="10">
        <v>1.0</v>
      </c>
      <c r="F406" s="10">
        <v>1.0</v>
      </c>
      <c r="G406" s="10">
        <v>0.0</v>
      </c>
      <c r="H406" s="14">
        <v>1.0</v>
      </c>
      <c r="I406" s="7">
        <f t="shared" si="1"/>
        <v>1</v>
      </c>
      <c r="J406" s="10" t="str">
        <f>IF(MAX(B406,E406)&gt;=Thresholds!$C$7,"Tier 3 - High",IF(MAX(B406,E406)&gt;=Thresholds!$C$6,"Tier 2 - Moderate","Tier 1 - Low"))</f>
        <v>Tier 1 - Low</v>
      </c>
      <c r="K406" s="7" t="str">
        <f t="shared" si="2"/>
        <v>Low Volume - Setup Needed</v>
      </c>
      <c r="L406" s="10" t="str">
        <f t="shared" si="3"/>
        <v>Low/no B2B traffic yet - set a Business Price (5-10% below retail) and Quantity Discount tiers (e.g. 5+ units 5% off, 10+ units 10% off) to attract first B2B interest; add bulk/case-pack info to title and bullets</v>
      </c>
    </row>
    <row r="407" ht="14.25" customHeight="1">
      <c r="A407" s="10" t="s">
        <v>442</v>
      </c>
      <c r="B407" s="10">
        <v>0.0</v>
      </c>
      <c r="C407" s="10">
        <v>0.0</v>
      </c>
      <c r="D407" s="10">
        <v>0.0</v>
      </c>
      <c r="E407" s="10">
        <v>1.0</v>
      </c>
      <c r="F407" s="10">
        <v>1.0</v>
      </c>
      <c r="G407" s="10">
        <v>0.0</v>
      </c>
      <c r="H407" s="14">
        <v>1.0</v>
      </c>
      <c r="I407" s="7">
        <f t="shared" si="1"/>
        <v>1</v>
      </c>
      <c r="J407" s="10" t="str">
        <f>IF(MAX(B407,E407)&gt;=Thresholds!$C$7,"Tier 3 - High",IF(MAX(B407,E407)&gt;=Thresholds!$C$6,"Tier 2 - Moderate","Tier 1 - Low"))</f>
        <v>Tier 1 - Low</v>
      </c>
      <c r="K407" s="7" t="str">
        <f t="shared" si="2"/>
        <v>Low Volume - Setup Needed</v>
      </c>
      <c r="L407" s="10" t="str">
        <f t="shared" si="3"/>
        <v>Low/no B2B traffic yet - set a Business Price (5-10% below retail) and Quantity Discount tiers (e.g. 5+ units 5% off, 10+ units 10% off) to attract first B2B interest; add bulk/case-pack info to title and bullets</v>
      </c>
    </row>
    <row r="408" ht="14.25" customHeight="1">
      <c r="A408" s="10" t="s">
        <v>443</v>
      </c>
      <c r="B408" s="10">
        <v>0.0</v>
      </c>
      <c r="C408" s="10">
        <v>0.0</v>
      </c>
      <c r="D408" s="10">
        <v>0.0</v>
      </c>
      <c r="E408" s="10">
        <v>1.0</v>
      </c>
      <c r="F408" s="10">
        <v>1.0</v>
      </c>
      <c r="G408" s="10">
        <v>0.0</v>
      </c>
      <c r="H408" s="14">
        <v>0.8667</v>
      </c>
      <c r="I408" s="7">
        <f t="shared" si="1"/>
        <v>1</v>
      </c>
      <c r="J408" s="10" t="str">
        <f>IF(MAX(B408,E408)&gt;=Thresholds!$C$7,"Tier 3 - High",IF(MAX(B408,E408)&gt;=Thresholds!$C$6,"Tier 2 - Moderate","Tier 1 - Low"))</f>
        <v>Tier 1 - Low</v>
      </c>
      <c r="K408" s="7" t="str">
        <f t="shared" si="2"/>
        <v>Low Volume - Setup Needed</v>
      </c>
      <c r="L408" s="10" t="str">
        <f t="shared" si="3"/>
        <v>Low/no B2B traffic yet - set a Business Price (5-10% below retail) and Quantity Discount tiers (e.g. 5+ units 5% off, 10+ units 10% off) to attract first B2B interest; add bulk/case-pack info to title and bullets</v>
      </c>
    </row>
    <row r="409" ht="14.25" customHeight="1">
      <c r="A409" s="10" t="s">
        <v>444</v>
      </c>
      <c r="B409" s="10">
        <v>1.0</v>
      </c>
      <c r="C409" s="10">
        <v>1.0</v>
      </c>
      <c r="D409" s="10">
        <v>0.0</v>
      </c>
      <c r="E409" s="10">
        <v>2.0</v>
      </c>
      <c r="F409" s="10">
        <v>3.0</v>
      </c>
      <c r="G409" s="10">
        <v>0.0</v>
      </c>
      <c r="H409" s="14">
        <v>1.0</v>
      </c>
      <c r="I409" s="7">
        <f t="shared" si="1"/>
        <v>1</v>
      </c>
      <c r="J409" s="10" t="str">
        <f>IF(MAX(B409,E409)&gt;=Thresholds!$C$7,"Tier 3 - High",IF(MAX(B409,E409)&gt;=Thresholds!$C$6,"Tier 2 - Moderate","Tier 1 - Low"))</f>
        <v>Tier 1 - Low</v>
      </c>
      <c r="K409" s="7" t="str">
        <f t="shared" si="2"/>
        <v>Low Volume - Setup Needed</v>
      </c>
      <c r="L409" s="10" t="str">
        <f t="shared" si="3"/>
        <v>Low/no B2B traffic yet - set a Business Price (5-10% below retail) and Quantity Discount tiers (e.g. 5+ units 5% off, 10+ units 10% off) to attract first B2B interest; add bulk/case-pack info to title and bullets</v>
      </c>
    </row>
    <row r="410" ht="14.25" customHeight="1">
      <c r="A410" s="10" t="s">
        <v>445</v>
      </c>
      <c r="B410" s="10">
        <v>0.0</v>
      </c>
      <c r="C410" s="10">
        <v>0.0</v>
      </c>
      <c r="D410" s="10">
        <v>0.0</v>
      </c>
      <c r="E410" s="10">
        <v>1.0</v>
      </c>
      <c r="F410" s="10">
        <v>1.0</v>
      </c>
      <c r="G410" s="10">
        <v>0.0</v>
      </c>
      <c r="H410" s="14">
        <v>1.0</v>
      </c>
      <c r="I410" s="7">
        <f t="shared" si="1"/>
        <v>1</v>
      </c>
      <c r="J410" s="10" t="str">
        <f>IF(MAX(B410,E410)&gt;=Thresholds!$C$7,"Tier 3 - High",IF(MAX(B410,E410)&gt;=Thresholds!$C$6,"Tier 2 - Moderate","Tier 1 - Low"))</f>
        <v>Tier 1 - Low</v>
      </c>
      <c r="K410" s="7" t="str">
        <f t="shared" si="2"/>
        <v>Low Volume - Setup Needed</v>
      </c>
      <c r="L410" s="10" t="str">
        <f t="shared" si="3"/>
        <v>Low/no B2B traffic yet - set a Business Price (5-10% below retail) and Quantity Discount tiers (e.g. 5+ units 5% off, 10+ units 10% off) to attract first B2B interest; add bulk/case-pack info to title and bullets</v>
      </c>
    </row>
    <row r="411" ht="14.25" customHeight="1">
      <c r="A411" s="10" t="s">
        <v>446</v>
      </c>
      <c r="B411" s="10">
        <v>0.0</v>
      </c>
      <c r="C411" s="10">
        <v>0.0</v>
      </c>
      <c r="D411" s="10">
        <v>0.0</v>
      </c>
      <c r="E411" s="10">
        <v>1.0</v>
      </c>
      <c r="F411" s="10">
        <v>1.0</v>
      </c>
      <c r="G411" s="10">
        <v>0.0</v>
      </c>
      <c r="H411" s="14">
        <v>0.875</v>
      </c>
      <c r="I411" s="7">
        <f t="shared" si="1"/>
        <v>1</v>
      </c>
      <c r="J411" s="10" t="str">
        <f>IF(MAX(B411,E411)&gt;=Thresholds!$C$7,"Tier 3 - High",IF(MAX(B411,E411)&gt;=Thresholds!$C$6,"Tier 2 - Moderate","Tier 1 - Low"))</f>
        <v>Tier 1 - Low</v>
      </c>
      <c r="K411" s="7" t="str">
        <f t="shared" si="2"/>
        <v>Low Volume - Setup Needed</v>
      </c>
      <c r="L411" s="10" t="str">
        <f t="shared" si="3"/>
        <v>Low/no B2B traffic yet - set a Business Price (5-10% below retail) and Quantity Discount tiers (e.g. 5+ units 5% off, 10+ units 10% off) to attract first B2B interest; add bulk/case-pack info to title and bullets</v>
      </c>
    </row>
    <row r="412" ht="14.25" customHeight="1">
      <c r="A412" s="10" t="s">
        <v>447</v>
      </c>
      <c r="B412" s="10">
        <v>0.0</v>
      </c>
      <c r="C412" s="10">
        <v>0.0</v>
      </c>
      <c r="D412" s="10">
        <v>0.0</v>
      </c>
      <c r="E412" s="10">
        <v>1.0</v>
      </c>
      <c r="F412" s="10">
        <v>1.0</v>
      </c>
      <c r="G412" s="10">
        <v>0.0</v>
      </c>
      <c r="H412" s="14">
        <v>1.0</v>
      </c>
      <c r="I412" s="7">
        <f t="shared" si="1"/>
        <v>1</v>
      </c>
      <c r="J412" s="10" t="str">
        <f>IF(MAX(B412,E412)&gt;=Thresholds!$C$7,"Tier 3 - High",IF(MAX(B412,E412)&gt;=Thresholds!$C$6,"Tier 2 - Moderate","Tier 1 - Low"))</f>
        <v>Tier 1 - Low</v>
      </c>
      <c r="K412" s="7" t="str">
        <f t="shared" si="2"/>
        <v>Low Volume - Setup Needed</v>
      </c>
      <c r="L412" s="10" t="str">
        <f t="shared" si="3"/>
        <v>Low/no B2B traffic yet - set a Business Price (5-10% below retail) and Quantity Discount tiers (e.g. 5+ units 5% off, 10+ units 10% off) to attract first B2B interest; add bulk/case-pack info to title and bullets</v>
      </c>
    </row>
    <row r="413" ht="14.25" customHeight="1">
      <c r="A413" s="10" t="s">
        <v>448</v>
      </c>
      <c r="B413" s="10">
        <v>0.0</v>
      </c>
      <c r="C413" s="10">
        <v>0.0</v>
      </c>
      <c r="D413" s="10">
        <v>0.0</v>
      </c>
      <c r="E413" s="10">
        <v>1.0</v>
      </c>
      <c r="F413" s="10">
        <v>1.0</v>
      </c>
      <c r="G413" s="10">
        <v>0.0</v>
      </c>
      <c r="H413" s="14">
        <v>0.9286</v>
      </c>
      <c r="I413" s="7">
        <f t="shared" si="1"/>
        <v>1</v>
      </c>
      <c r="J413" s="10" t="str">
        <f>IF(MAX(B413,E413)&gt;=Thresholds!$C$7,"Tier 3 - High",IF(MAX(B413,E413)&gt;=Thresholds!$C$6,"Tier 2 - Moderate","Tier 1 - Low"))</f>
        <v>Tier 1 - Low</v>
      </c>
      <c r="K413" s="7" t="str">
        <f t="shared" si="2"/>
        <v>Low Volume - Setup Needed</v>
      </c>
      <c r="L413" s="10" t="str">
        <f t="shared" si="3"/>
        <v>Low/no B2B traffic yet - set a Business Price (5-10% below retail) and Quantity Discount tiers (e.g. 5+ units 5% off, 10+ units 10% off) to attract first B2B interest; add bulk/case-pack info to title and bullets</v>
      </c>
    </row>
    <row r="414" ht="14.25" customHeight="1">
      <c r="A414" s="10" t="s">
        <v>449</v>
      </c>
      <c r="B414" s="10">
        <v>0.0</v>
      </c>
      <c r="C414" s="10">
        <v>0.0</v>
      </c>
      <c r="D414" s="10">
        <v>0.0</v>
      </c>
      <c r="E414" s="10">
        <v>1.0</v>
      </c>
      <c r="F414" s="10">
        <v>1.0</v>
      </c>
      <c r="G414" s="10">
        <v>0.0</v>
      </c>
      <c r="H414" s="14">
        <v>1.0</v>
      </c>
      <c r="I414" s="7">
        <f t="shared" si="1"/>
        <v>1</v>
      </c>
      <c r="J414" s="10" t="str">
        <f>IF(MAX(B414,E414)&gt;=Thresholds!$C$7,"Tier 3 - High",IF(MAX(B414,E414)&gt;=Thresholds!$C$6,"Tier 2 - Moderate","Tier 1 - Low"))</f>
        <v>Tier 1 - Low</v>
      </c>
      <c r="K414" s="7" t="str">
        <f t="shared" si="2"/>
        <v>Low Volume - Setup Needed</v>
      </c>
      <c r="L414" s="10" t="str">
        <f t="shared" si="3"/>
        <v>Low/no B2B traffic yet - set a Business Price (5-10% below retail) and Quantity Discount tiers (e.g. 5+ units 5% off, 10+ units 10% off) to attract first B2B interest; add bulk/case-pack info to title and bullets</v>
      </c>
    </row>
    <row r="415" ht="14.25" customHeight="1">
      <c r="A415" s="10" t="s">
        <v>450</v>
      </c>
      <c r="B415" s="10">
        <v>0.0</v>
      </c>
      <c r="C415" s="10">
        <v>0.0</v>
      </c>
      <c r="D415" s="10">
        <v>0.0</v>
      </c>
      <c r="E415" s="10">
        <v>1.0</v>
      </c>
      <c r="F415" s="10">
        <v>1.0</v>
      </c>
      <c r="G415" s="10">
        <v>0.0</v>
      </c>
      <c r="H415" s="14">
        <v>1.0</v>
      </c>
      <c r="I415" s="7">
        <f t="shared" si="1"/>
        <v>1</v>
      </c>
      <c r="J415" s="10" t="str">
        <f>IF(MAX(B415,E415)&gt;=Thresholds!$C$7,"Tier 3 - High",IF(MAX(B415,E415)&gt;=Thresholds!$C$6,"Tier 2 - Moderate","Tier 1 - Low"))</f>
        <v>Tier 1 - Low</v>
      </c>
      <c r="K415" s="7" t="str">
        <f t="shared" si="2"/>
        <v>Low Volume - Setup Needed</v>
      </c>
      <c r="L415" s="10" t="str">
        <f t="shared" si="3"/>
        <v>Low/no B2B traffic yet - set a Business Price (5-10% below retail) and Quantity Discount tiers (e.g. 5+ units 5% off, 10+ units 10% off) to attract first B2B interest; add bulk/case-pack info to title and bullets</v>
      </c>
    </row>
    <row r="416" ht="14.25" customHeight="1">
      <c r="A416" s="10" t="s">
        <v>451</v>
      </c>
      <c r="B416" s="10">
        <v>0.0</v>
      </c>
      <c r="C416" s="10">
        <v>0.0</v>
      </c>
      <c r="D416" s="10">
        <v>0.0</v>
      </c>
      <c r="E416" s="10">
        <v>1.0</v>
      </c>
      <c r="F416" s="10">
        <v>1.0</v>
      </c>
      <c r="G416" s="10">
        <v>0.0</v>
      </c>
      <c r="H416" s="14">
        <v>1.0</v>
      </c>
      <c r="I416" s="7">
        <f t="shared" si="1"/>
        <v>1</v>
      </c>
      <c r="J416" s="10" t="str">
        <f>IF(MAX(B416,E416)&gt;=Thresholds!$C$7,"Tier 3 - High",IF(MAX(B416,E416)&gt;=Thresholds!$C$6,"Tier 2 - Moderate","Tier 1 - Low"))</f>
        <v>Tier 1 - Low</v>
      </c>
      <c r="K416" s="7" t="str">
        <f t="shared" si="2"/>
        <v>Low Volume - Setup Needed</v>
      </c>
      <c r="L416" s="10" t="str">
        <f t="shared" si="3"/>
        <v>Low/no B2B traffic yet - set a Business Price (5-10% below retail) and Quantity Discount tiers (e.g. 5+ units 5% off, 10+ units 10% off) to attract first B2B interest; add bulk/case-pack info to title and bullets</v>
      </c>
    </row>
    <row r="417" ht="14.25" customHeight="1">
      <c r="A417" s="10" t="s">
        <v>452</v>
      </c>
      <c r="B417" s="10">
        <v>0.0</v>
      </c>
      <c r="C417" s="10">
        <v>0.0</v>
      </c>
      <c r="D417" s="10">
        <v>0.0</v>
      </c>
      <c r="E417" s="10">
        <v>1.0</v>
      </c>
      <c r="F417" s="10">
        <v>1.0</v>
      </c>
      <c r="G417" s="10">
        <v>0.0</v>
      </c>
      <c r="H417" s="14">
        <v>0.8</v>
      </c>
      <c r="I417" s="7">
        <f t="shared" si="1"/>
        <v>1</v>
      </c>
      <c r="J417" s="10" t="str">
        <f>IF(MAX(B417,E417)&gt;=Thresholds!$C$7,"Tier 3 - High",IF(MAX(B417,E417)&gt;=Thresholds!$C$6,"Tier 2 - Moderate","Tier 1 - Low"))</f>
        <v>Tier 1 - Low</v>
      </c>
      <c r="K417" s="7" t="str">
        <f t="shared" si="2"/>
        <v>Low Volume - Setup Needed</v>
      </c>
      <c r="L417" s="10" t="str">
        <f t="shared" si="3"/>
        <v>Low/no B2B traffic yet - set a Business Price (5-10% below retail) and Quantity Discount tiers (e.g. 5+ units 5% off, 10+ units 10% off) to attract first B2B interest; add bulk/case-pack info to title and bullets</v>
      </c>
    </row>
    <row r="418" ht="14.25" customHeight="1">
      <c r="A418" s="10" t="s">
        <v>453</v>
      </c>
      <c r="B418" s="10">
        <v>0.0</v>
      </c>
      <c r="C418" s="10">
        <v>0.0</v>
      </c>
      <c r="D418" s="10">
        <v>0.0</v>
      </c>
      <c r="E418" s="10">
        <v>1.0</v>
      </c>
      <c r="F418" s="10">
        <v>1.0</v>
      </c>
      <c r="G418" s="10">
        <v>0.0</v>
      </c>
      <c r="H418" s="14">
        <v>1.0</v>
      </c>
      <c r="I418" s="7">
        <f t="shared" si="1"/>
        <v>1</v>
      </c>
      <c r="J418" s="10" t="str">
        <f>IF(MAX(B418,E418)&gt;=Thresholds!$C$7,"Tier 3 - High",IF(MAX(B418,E418)&gt;=Thresholds!$C$6,"Tier 2 - Moderate","Tier 1 - Low"))</f>
        <v>Tier 1 - Low</v>
      </c>
      <c r="K418" s="7" t="str">
        <f t="shared" si="2"/>
        <v>Low Volume - Setup Needed</v>
      </c>
      <c r="L418" s="10" t="str">
        <f t="shared" si="3"/>
        <v>Low/no B2B traffic yet - set a Business Price (5-10% below retail) and Quantity Discount tiers (e.g. 5+ units 5% off, 10+ units 10% off) to attract first B2B interest; add bulk/case-pack info to title and bullets</v>
      </c>
    </row>
    <row r="419" ht="14.25" customHeight="1">
      <c r="A419" s="10" t="s">
        <v>454</v>
      </c>
      <c r="B419" s="10">
        <v>0.0</v>
      </c>
      <c r="C419" s="10">
        <v>0.0</v>
      </c>
      <c r="D419" s="10">
        <v>0.0</v>
      </c>
      <c r="E419" s="10">
        <v>1.0</v>
      </c>
      <c r="F419" s="10">
        <v>1.0</v>
      </c>
      <c r="G419" s="10">
        <v>0.0</v>
      </c>
      <c r="H419" s="14">
        <v>0.75</v>
      </c>
      <c r="I419" s="7">
        <f t="shared" si="1"/>
        <v>1</v>
      </c>
      <c r="J419" s="10" t="str">
        <f>IF(MAX(B419,E419)&gt;=Thresholds!$C$7,"Tier 3 - High",IF(MAX(B419,E419)&gt;=Thresholds!$C$6,"Tier 2 - Moderate","Tier 1 - Low"))</f>
        <v>Tier 1 - Low</v>
      </c>
      <c r="K419" s="7" t="str">
        <f t="shared" si="2"/>
        <v>Low Volume - Setup Needed</v>
      </c>
      <c r="L419" s="10" t="str">
        <f t="shared" si="3"/>
        <v>Low/no B2B traffic yet - set a Business Price (5-10% below retail) and Quantity Discount tiers (e.g. 5+ units 5% off, 10+ units 10% off) to attract first B2B interest; add bulk/case-pack info to title and bullets</v>
      </c>
    </row>
    <row r="420" ht="14.25" customHeight="1">
      <c r="A420" s="10" t="s">
        <v>455</v>
      </c>
      <c r="B420" s="10">
        <v>3.0</v>
      </c>
      <c r="C420" s="10">
        <v>4.0</v>
      </c>
      <c r="D420" s="10">
        <v>0.0</v>
      </c>
      <c r="E420" s="10">
        <v>4.0</v>
      </c>
      <c r="F420" s="10">
        <v>9.0</v>
      </c>
      <c r="G420" s="10">
        <v>0.0</v>
      </c>
      <c r="H420" s="14">
        <v>0.9941</v>
      </c>
      <c r="I420" s="7">
        <f t="shared" si="1"/>
        <v>1</v>
      </c>
      <c r="J420" s="10" t="str">
        <f>IF(MAX(B420,E420)&gt;=Thresholds!$C$7,"Tier 3 - High",IF(MAX(B420,E420)&gt;=Thresholds!$C$6,"Tier 2 - Moderate","Tier 1 - Low"))</f>
        <v>Tier 1 - Low</v>
      </c>
      <c r="K420" s="7" t="str">
        <f t="shared" si="2"/>
        <v>Low Volume - Setup Needed</v>
      </c>
      <c r="L420" s="10" t="str">
        <f t="shared" si="3"/>
        <v>Low/no B2B traffic yet - set a Business Price (5-10% below retail) and Quantity Discount tiers (e.g. 5+ units 5% off, 10+ units 10% off) to attract first B2B interest; add bulk/case-pack info to title and bullets</v>
      </c>
    </row>
    <row r="421" ht="14.25" customHeight="1">
      <c r="A421" s="10" t="s">
        <v>456</v>
      </c>
      <c r="B421" s="10">
        <v>0.0</v>
      </c>
      <c r="C421" s="10">
        <v>0.0</v>
      </c>
      <c r="D421" s="10">
        <v>0.0</v>
      </c>
      <c r="E421" s="10">
        <v>1.0</v>
      </c>
      <c r="F421" s="10">
        <v>1.0</v>
      </c>
      <c r="G421" s="10">
        <v>0.0</v>
      </c>
      <c r="H421" s="14">
        <v>0.0</v>
      </c>
      <c r="I421" s="7">
        <f t="shared" si="1"/>
        <v>1</v>
      </c>
      <c r="J421" s="10" t="str">
        <f>IF(MAX(B421,E421)&gt;=Thresholds!$C$7,"Tier 3 - High",IF(MAX(B421,E421)&gt;=Thresholds!$C$6,"Tier 2 - Moderate","Tier 1 - Low"))</f>
        <v>Tier 1 - Low</v>
      </c>
      <c r="K421" s="7" t="str">
        <f t="shared" si="2"/>
        <v>Low Volume - Setup Needed</v>
      </c>
      <c r="L421" s="10" t="str">
        <f t="shared" si="3"/>
        <v>Low/no B2B traffic yet - set a Business Price (5-10% below retail) and Quantity Discount tiers (e.g. 5+ units 5% off, 10+ units 10% off) to attract first B2B interest; add bulk/case-pack info to title and bullets</v>
      </c>
    </row>
    <row r="422" ht="14.25" customHeight="1">
      <c r="A422" s="10" t="s">
        <v>457</v>
      </c>
      <c r="B422" s="10">
        <v>1.0</v>
      </c>
      <c r="C422" s="10">
        <v>4.0</v>
      </c>
      <c r="D422" s="10">
        <v>0.0</v>
      </c>
      <c r="E422" s="10">
        <v>2.0</v>
      </c>
      <c r="F422" s="10">
        <v>3.0</v>
      </c>
      <c r="G422" s="10">
        <v>0.0</v>
      </c>
      <c r="H422" s="14">
        <v>1.0</v>
      </c>
      <c r="I422" s="7">
        <f t="shared" si="1"/>
        <v>1</v>
      </c>
      <c r="J422" s="10" t="str">
        <f>IF(MAX(B422,E422)&gt;=Thresholds!$C$7,"Tier 3 - High",IF(MAX(B422,E422)&gt;=Thresholds!$C$6,"Tier 2 - Moderate","Tier 1 - Low"))</f>
        <v>Tier 1 - Low</v>
      </c>
      <c r="K422" s="7" t="str">
        <f t="shared" si="2"/>
        <v>Low Volume - Setup Needed</v>
      </c>
      <c r="L422" s="10" t="str">
        <f t="shared" si="3"/>
        <v>Low/no B2B traffic yet - set a Business Price (5-10% below retail) and Quantity Discount tiers (e.g. 5+ units 5% off, 10+ units 10% off) to attract first B2B interest; add bulk/case-pack info to title and bullets</v>
      </c>
    </row>
    <row r="423" ht="14.25" customHeight="1">
      <c r="A423" s="10" t="s">
        <v>458</v>
      </c>
      <c r="B423" s="10">
        <v>0.0</v>
      </c>
      <c r="C423" s="10">
        <v>0.0</v>
      </c>
      <c r="D423" s="10">
        <v>0.0</v>
      </c>
      <c r="E423" s="10">
        <v>1.0</v>
      </c>
      <c r="F423" s="10">
        <v>1.0</v>
      </c>
      <c r="G423" s="10">
        <v>0.0</v>
      </c>
      <c r="H423" s="14">
        <v>1.0</v>
      </c>
      <c r="I423" s="7">
        <f t="shared" si="1"/>
        <v>1</v>
      </c>
      <c r="J423" s="10" t="str">
        <f>IF(MAX(B423,E423)&gt;=Thresholds!$C$7,"Tier 3 - High",IF(MAX(B423,E423)&gt;=Thresholds!$C$6,"Tier 2 - Moderate","Tier 1 - Low"))</f>
        <v>Tier 1 - Low</v>
      </c>
      <c r="K423" s="7" t="str">
        <f t="shared" si="2"/>
        <v>Low Volume - Setup Needed</v>
      </c>
      <c r="L423" s="10" t="str">
        <f t="shared" si="3"/>
        <v>Low/no B2B traffic yet - set a Business Price (5-10% below retail) and Quantity Discount tiers (e.g. 5+ units 5% off, 10+ units 10% off) to attract first B2B interest; add bulk/case-pack info to title and bullets</v>
      </c>
    </row>
    <row r="424" ht="14.25" customHeight="1">
      <c r="A424" s="10" t="s">
        <v>459</v>
      </c>
      <c r="B424" s="10">
        <v>0.0</v>
      </c>
      <c r="C424" s="10">
        <v>0.0</v>
      </c>
      <c r="D424" s="10">
        <v>0.0</v>
      </c>
      <c r="E424" s="10">
        <v>1.0</v>
      </c>
      <c r="F424" s="10">
        <v>1.0</v>
      </c>
      <c r="G424" s="10">
        <v>0.0</v>
      </c>
      <c r="H424" s="14">
        <v>1.0</v>
      </c>
      <c r="I424" s="7">
        <f t="shared" si="1"/>
        <v>1</v>
      </c>
      <c r="J424" s="10" t="str">
        <f>IF(MAX(B424,E424)&gt;=Thresholds!$C$7,"Tier 3 - High",IF(MAX(B424,E424)&gt;=Thresholds!$C$6,"Tier 2 - Moderate","Tier 1 - Low"))</f>
        <v>Tier 1 - Low</v>
      </c>
      <c r="K424" s="7" t="str">
        <f t="shared" si="2"/>
        <v>Low Volume - Setup Needed</v>
      </c>
      <c r="L424" s="10" t="str">
        <f t="shared" si="3"/>
        <v>Low/no B2B traffic yet - set a Business Price (5-10% below retail) and Quantity Discount tiers (e.g. 5+ units 5% off, 10+ units 10% off) to attract first B2B interest; add bulk/case-pack info to title and bullets</v>
      </c>
    </row>
    <row r="425" ht="14.25" customHeight="1">
      <c r="A425" s="10" t="s">
        <v>460</v>
      </c>
      <c r="B425" s="10">
        <v>0.0</v>
      </c>
      <c r="C425" s="10">
        <v>0.0</v>
      </c>
      <c r="D425" s="10">
        <v>0.0</v>
      </c>
      <c r="E425" s="10">
        <v>1.0</v>
      </c>
      <c r="F425" s="10">
        <v>2.0</v>
      </c>
      <c r="G425" s="10">
        <v>0.0</v>
      </c>
      <c r="H425" s="14">
        <v>0.9643</v>
      </c>
      <c r="I425" s="7">
        <f t="shared" si="1"/>
        <v>1</v>
      </c>
      <c r="J425" s="10" t="str">
        <f>IF(MAX(B425,E425)&gt;=Thresholds!$C$7,"Tier 3 - High",IF(MAX(B425,E425)&gt;=Thresholds!$C$6,"Tier 2 - Moderate","Tier 1 - Low"))</f>
        <v>Tier 1 - Low</v>
      </c>
      <c r="K425" s="7" t="str">
        <f t="shared" si="2"/>
        <v>Low Volume - Setup Needed</v>
      </c>
      <c r="L425" s="10" t="str">
        <f t="shared" si="3"/>
        <v>Low/no B2B traffic yet - set a Business Price (5-10% below retail) and Quantity Discount tiers (e.g. 5+ units 5% off, 10+ units 10% off) to attract first B2B interest; add bulk/case-pack info to title and bullets</v>
      </c>
    </row>
    <row r="426" ht="14.25" customHeight="1">
      <c r="A426" s="10" t="s">
        <v>461</v>
      </c>
      <c r="B426" s="10">
        <v>0.0</v>
      </c>
      <c r="C426" s="10">
        <v>0.0</v>
      </c>
      <c r="D426" s="10">
        <v>0.0</v>
      </c>
      <c r="E426" s="10">
        <v>1.0</v>
      </c>
      <c r="F426" s="10">
        <v>1.0</v>
      </c>
      <c r="G426" s="10">
        <v>0.0</v>
      </c>
      <c r="H426" s="14">
        <v>0.7391</v>
      </c>
      <c r="I426" s="7">
        <f t="shared" si="1"/>
        <v>1</v>
      </c>
      <c r="J426" s="10" t="str">
        <f>IF(MAX(B426,E426)&gt;=Thresholds!$C$7,"Tier 3 - High",IF(MAX(B426,E426)&gt;=Thresholds!$C$6,"Tier 2 - Moderate","Tier 1 - Low"))</f>
        <v>Tier 1 - Low</v>
      </c>
      <c r="K426" s="7" t="str">
        <f t="shared" si="2"/>
        <v>Low Volume - Setup Needed</v>
      </c>
      <c r="L426" s="10" t="str">
        <f t="shared" si="3"/>
        <v>Low/no B2B traffic yet - set a Business Price (5-10% below retail) and Quantity Discount tiers (e.g. 5+ units 5% off, 10+ units 10% off) to attract first B2B interest; add bulk/case-pack info to title and bullets</v>
      </c>
    </row>
    <row r="427" ht="14.25" customHeight="1">
      <c r="A427" s="10" t="s">
        <v>462</v>
      </c>
      <c r="B427" s="10">
        <v>0.0</v>
      </c>
      <c r="C427" s="10">
        <v>0.0</v>
      </c>
      <c r="D427" s="10">
        <v>0.0</v>
      </c>
      <c r="E427" s="10">
        <v>1.0</v>
      </c>
      <c r="F427" s="10">
        <v>1.0</v>
      </c>
      <c r="G427" s="10">
        <v>0.0</v>
      </c>
      <c r="H427" s="14">
        <v>1.0</v>
      </c>
      <c r="I427" s="7">
        <f t="shared" si="1"/>
        <v>1</v>
      </c>
      <c r="J427" s="10" t="str">
        <f>IF(MAX(B427,E427)&gt;=Thresholds!$C$7,"Tier 3 - High",IF(MAX(B427,E427)&gt;=Thresholds!$C$6,"Tier 2 - Moderate","Tier 1 - Low"))</f>
        <v>Tier 1 - Low</v>
      </c>
      <c r="K427" s="7" t="str">
        <f t="shared" si="2"/>
        <v>Low Volume - Setup Needed</v>
      </c>
      <c r="L427" s="10" t="str">
        <f t="shared" si="3"/>
        <v>Low/no B2B traffic yet - set a Business Price (5-10% below retail) and Quantity Discount tiers (e.g. 5+ units 5% off, 10+ units 10% off) to attract first B2B interest; add bulk/case-pack info to title and bullets</v>
      </c>
    </row>
    <row r="428" ht="14.25" customHeight="1">
      <c r="A428" s="10" t="s">
        <v>463</v>
      </c>
      <c r="B428" s="10">
        <v>0.0</v>
      </c>
      <c r="C428" s="10">
        <v>0.0</v>
      </c>
      <c r="D428" s="10">
        <v>0.0</v>
      </c>
      <c r="E428" s="10">
        <v>1.0</v>
      </c>
      <c r="F428" s="10">
        <v>1.0</v>
      </c>
      <c r="G428" s="10">
        <v>0.0</v>
      </c>
      <c r="H428" s="14">
        <v>1.0</v>
      </c>
      <c r="I428" s="7">
        <f t="shared" si="1"/>
        <v>1</v>
      </c>
      <c r="J428" s="10" t="str">
        <f>IF(MAX(B428,E428)&gt;=Thresholds!$C$7,"Tier 3 - High",IF(MAX(B428,E428)&gt;=Thresholds!$C$6,"Tier 2 - Moderate","Tier 1 - Low"))</f>
        <v>Tier 1 - Low</v>
      </c>
      <c r="K428" s="7" t="str">
        <f t="shared" si="2"/>
        <v>Low Volume - Setup Needed</v>
      </c>
      <c r="L428" s="10" t="str">
        <f t="shared" si="3"/>
        <v>Low/no B2B traffic yet - set a Business Price (5-10% below retail) and Quantity Discount tiers (e.g. 5+ units 5% off, 10+ units 10% off) to attract first B2B interest; add bulk/case-pack info to title and bullets</v>
      </c>
    </row>
    <row r="429" ht="14.25" customHeight="1">
      <c r="A429" s="10" t="s">
        <v>464</v>
      </c>
      <c r="B429" s="10">
        <v>0.0</v>
      </c>
      <c r="C429" s="10">
        <v>0.0</v>
      </c>
      <c r="D429" s="10">
        <v>0.0</v>
      </c>
      <c r="E429" s="10">
        <v>1.0</v>
      </c>
      <c r="F429" s="10">
        <v>2.0</v>
      </c>
      <c r="G429" s="10">
        <v>4.0</v>
      </c>
      <c r="H429" s="14">
        <v>1.0</v>
      </c>
      <c r="I429" s="7">
        <f t="shared" si="1"/>
        <v>1</v>
      </c>
      <c r="J429" s="10" t="str">
        <f>IF(MAX(B429,E429)&gt;=Thresholds!$C$7,"Tier 3 - High",IF(MAX(B429,E429)&gt;=Thresholds!$C$6,"Tier 2 - Moderate","Tier 1 - Low"))</f>
        <v>Tier 1 - Low</v>
      </c>
      <c r="K429" s="7" t="str">
        <f t="shared" si="2"/>
        <v>Low Volume - Setup Needed</v>
      </c>
      <c r="L429" s="10" t="str">
        <f t="shared" si="3"/>
        <v>Low/no B2B traffic yet - set a Business Price (5-10% below retail) and Quantity Discount tiers (e.g. 5+ units 5% off, 10+ units 10% off) to attract first B2B interest; add bulk/case-pack info to title and bullets</v>
      </c>
    </row>
    <row r="430" ht="14.25" customHeight="1">
      <c r="A430" s="10" t="s">
        <v>465</v>
      </c>
      <c r="B430" s="10">
        <v>0.0</v>
      </c>
      <c r="C430" s="10">
        <v>0.0</v>
      </c>
      <c r="D430" s="10">
        <v>0.0</v>
      </c>
      <c r="E430" s="10">
        <v>1.0</v>
      </c>
      <c r="F430" s="10">
        <v>1.0</v>
      </c>
      <c r="G430" s="10">
        <v>0.0</v>
      </c>
      <c r="H430" s="14">
        <v>0.85</v>
      </c>
      <c r="I430" s="7">
        <f t="shared" si="1"/>
        <v>1</v>
      </c>
      <c r="J430" s="10" t="str">
        <f>IF(MAX(B430,E430)&gt;=Thresholds!$C$7,"Tier 3 - High",IF(MAX(B430,E430)&gt;=Thresholds!$C$6,"Tier 2 - Moderate","Tier 1 - Low"))</f>
        <v>Tier 1 - Low</v>
      </c>
      <c r="K430" s="7" t="str">
        <f t="shared" si="2"/>
        <v>Low Volume - Setup Needed</v>
      </c>
      <c r="L430" s="10" t="str">
        <f t="shared" si="3"/>
        <v>Low/no B2B traffic yet - set a Business Price (5-10% below retail) and Quantity Discount tiers (e.g. 5+ units 5% off, 10+ units 10% off) to attract first B2B interest; add bulk/case-pack info to title and bullets</v>
      </c>
    </row>
    <row r="431" ht="14.25" customHeight="1">
      <c r="A431" s="10" t="s">
        <v>466</v>
      </c>
      <c r="B431" s="10">
        <v>0.0</v>
      </c>
      <c r="C431" s="10">
        <v>0.0</v>
      </c>
      <c r="D431" s="10">
        <v>0.0</v>
      </c>
      <c r="E431" s="10">
        <v>1.0</v>
      </c>
      <c r="F431" s="10">
        <v>2.0</v>
      </c>
      <c r="G431" s="10">
        <v>0.0</v>
      </c>
      <c r="H431" s="14">
        <v>1.0</v>
      </c>
      <c r="I431" s="7">
        <f t="shared" si="1"/>
        <v>1</v>
      </c>
      <c r="J431" s="10" t="str">
        <f>IF(MAX(B431,E431)&gt;=Thresholds!$C$7,"Tier 3 - High",IF(MAX(B431,E431)&gt;=Thresholds!$C$6,"Tier 2 - Moderate","Tier 1 - Low"))</f>
        <v>Tier 1 - Low</v>
      </c>
      <c r="K431" s="7" t="str">
        <f t="shared" si="2"/>
        <v>Low Volume - Setup Needed</v>
      </c>
      <c r="L431" s="10" t="str">
        <f t="shared" si="3"/>
        <v>Low/no B2B traffic yet - set a Business Price (5-10% below retail) and Quantity Discount tiers (e.g. 5+ units 5% off, 10+ units 10% off) to attract first B2B interest; add bulk/case-pack info to title and bullets</v>
      </c>
    </row>
    <row r="432" ht="14.25" customHeight="1">
      <c r="A432" s="10" t="s">
        <v>467</v>
      </c>
      <c r="B432" s="10">
        <v>0.0</v>
      </c>
      <c r="C432" s="10">
        <v>0.0</v>
      </c>
      <c r="D432" s="10">
        <v>0.0</v>
      </c>
      <c r="E432" s="10">
        <v>1.0</v>
      </c>
      <c r="F432" s="10">
        <v>3.0</v>
      </c>
      <c r="G432" s="10">
        <v>0.0</v>
      </c>
      <c r="H432" s="14">
        <v>0.4722</v>
      </c>
      <c r="I432" s="7">
        <f t="shared" si="1"/>
        <v>1</v>
      </c>
      <c r="J432" s="10" t="str">
        <f>IF(MAX(B432,E432)&gt;=Thresholds!$C$7,"Tier 3 - High",IF(MAX(B432,E432)&gt;=Thresholds!$C$6,"Tier 2 - Moderate","Tier 1 - Low"))</f>
        <v>Tier 1 - Low</v>
      </c>
      <c r="K432" s="7" t="str">
        <f t="shared" si="2"/>
        <v>Low Volume - Setup Needed</v>
      </c>
      <c r="L432" s="10" t="str">
        <f t="shared" si="3"/>
        <v>Low/no B2B traffic yet - set a Business Price (5-10% below retail) and Quantity Discount tiers (e.g. 5+ units 5% off, 10+ units 10% off) to attract first B2B interest; add bulk/case-pack info to title and bullets</v>
      </c>
    </row>
    <row r="433" ht="14.25" customHeight="1">
      <c r="A433" s="10" t="s">
        <v>468</v>
      </c>
      <c r="B433" s="10">
        <v>0.0</v>
      </c>
      <c r="C433" s="10">
        <v>0.0</v>
      </c>
      <c r="D433" s="10">
        <v>0.0</v>
      </c>
      <c r="E433" s="10">
        <v>1.0</v>
      </c>
      <c r="F433" s="10">
        <v>1.0</v>
      </c>
      <c r="G433" s="10">
        <v>0.0</v>
      </c>
      <c r="H433" s="14">
        <v>1.0</v>
      </c>
      <c r="I433" s="7">
        <f t="shared" si="1"/>
        <v>1</v>
      </c>
      <c r="J433" s="10" t="str">
        <f>IF(MAX(B433,E433)&gt;=Thresholds!$C$7,"Tier 3 - High",IF(MAX(B433,E433)&gt;=Thresholds!$C$6,"Tier 2 - Moderate","Tier 1 - Low"))</f>
        <v>Tier 1 - Low</v>
      </c>
      <c r="K433" s="7" t="str">
        <f t="shared" si="2"/>
        <v>Low Volume - Setup Needed</v>
      </c>
      <c r="L433" s="10" t="str">
        <f t="shared" si="3"/>
        <v>Low/no B2B traffic yet - set a Business Price (5-10% below retail) and Quantity Discount tiers (e.g. 5+ units 5% off, 10+ units 10% off) to attract first B2B interest; add bulk/case-pack info to title and bullets</v>
      </c>
    </row>
    <row r="434" ht="14.25" customHeight="1">
      <c r="A434" s="10" t="s">
        <v>469</v>
      </c>
      <c r="B434" s="10">
        <v>0.0</v>
      </c>
      <c r="C434" s="10">
        <v>0.0</v>
      </c>
      <c r="D434" s="10">
        <v>0.0</v>
      </c>
      <c r="E434" s="10">
        <v>1.0</v>
      </c>
      <c r="F434" s="10">
        <v>1.0</v>
      </c>
      <c r="G434" s="10">
        <v>0.0</v>
      </c>
      <c r="H434" s="14">
        <v>0.95</v>
      </c>
      <c r="I434" s="7">
        <f t="shared" si="1"/>
        <v>1</v>
      </c>
      <c r="J434" s="10" t="str">
        <f>IF(MAX(B434,E434)&gt;=Thresholds!$C$7,"Tier 3 - High",IF(MAX(B434,E434)&gt;=Thresholds!$C$6,"Tier 2 - Moderate","Tier 1 - Low"))</f>
        <v>Tier 1 - Low</v>
      </c>
      <c r="K434" s="7" t="str">
        <f t="shared" si="2"/>
        <v>Low Volume - Setup Needed</v>
      </c>
      <c r="L434" s="10" t="str">
        <f t="shared" si="3"/>
        <v>Low/no B2B traffic yet - set a Business Price (5-10% below retail) and Quantity Discount tiers (e.g. 5+ units 5% off, 10+ units 10% off) to attract first B2B interest; add bulk/case-pack info to title and bullets</v>
      </c>
    </row>
    <row r="435" ht="14.25" customHeight="1">
      <c r="A435" s="10" t="s">
        <v>470</v>
      </c>
      <c r="B435" s="10">
        <v>0.0</v>
      </c>
      <c r="C435" s="10">
        <v>0.0</v>
      </c>
      <c r="D435" s="10">
        <v>0.0</v>
      </c>
      <c r="E435" s="10">
        <v>1.0</v>
      </c>
      <c r="F435" s="10">
        <v>1.0</v>
      </c>
      <c r="G435" s="10">
        <v>0.0</v>
      </c>
      <c r="H435" s="14">
        <v>0.9091</v>
      </c>
      <c r="I435" s="7">
        <f t="shared" si="1"/>
        <v>1</v>
      </c>
      <c r="J435" s="10" t="str">
        <f>IF(MAX(B435,E435)&gt;=Thresholds!$C$7,"Tier 3 - High",IF(MAX(B435,E435)&gt;=Thresholds!$C$6,"Tier 2 - Moderate","Tier 1 - Low"))</f>
        <v>Tier 1 - Low</v>
      </c>
      <c r="K435" s="7" t="str">
        <f t="shared" si="2"/>
        <v>Low Volume - Setup Needed</v>
      </c>
      <c r="L435" s="10" t="str">
        <f t="shared" si="3"/>
        <v>Low/no B2B traffic yet - set a Business Price (5-10% below retail) and Quantity Discount tiers (e.g. 5+ units 5% off, 10+ units 10% off) to attract first B2B interest; add bulk/case-pack info to title and bullets</v>
      </c>
    </row>
    <row r="436" ht="14.25" customHeight="1">
      <c r="A436" s="10" t="s">
        <v>471</v>
      </c>
      <c r="B436" s="10">
        <v>0.0</v>
      </c>
      <c r="C436" s="10">
        <v>0.0</v>
      </c>
      <c r="D436" s="10">
        <v>0.0</v>
      </c>
      <c r="E436" s="10">
        <v>1.0</v>
      </c>
      <c r="F436" s="10">
        <v>1.0</v>
      </c>
      <c r="G436" s="10">
        <v>0.0</v>
      </c>
      <c r="H436" s="14">
        <v>1.0</v>
      </c>
      <c r="I436" s="7">
        <f t="shared" si="1"/>
        <v>1</v>
      </c>
      <c r="J436" s="10" t="str">
        <f>IF(MAX(B436,E436)&gt;=Thresholds!$C$7,"Tier 3 - High",IF(MAX(B436,E436)&gt;=Thresholds!$C$6,"Tier 2 - Moderate","Tier 1 - Low"))</f>
        <v>Tier 1 - Low</v>
      </c>
      <c r="K436" s="7" t="str">
        <f t="shared" si="2"/>
        <v>Low Volume - Setup Needed</v>
      </c>
      <c r="L436" s="10" t="str">
        <f t="shared" si="3"/>
        <v>Low/no B2B traffic yet - set a Business Price (5-10% below retail) and Quantity Discount tiers (e.g. 5+ units 5% off, 10+ units 10% off) to attract first B2B interest; add bulk/case-pack info to title and bullets</v>
      </c>
    </row>
    <row r="437" ht="14.25" customHeight="1">
      <c r="A437" s="10" t="s">
        <v>472</v>
      </c>
      <c r="B437" s="10">
        <v>0.0</v>
      </c>
      <c r="C437" s="10">
        <v>0.0</v>
      </c>
      <c r="D437" s="10">
        <v>0.0</v>
      </c>
      <c r="E437" s="10">
        <v>1.0</v>
      </c>
      <c r="F437" s="10">
        <v>1.0</v>
      </c>
      <c r="G437" s="10">
        <v>0.0</v>
      </c>
      <c r="H437" s="14">
        <v>1.0</v>
      </c>
      <c r="I437" s="7">
        <f t="shared" si="1"/>
        <v>1</v>
      </c>
      <c r="J437" s="10" t="str">
        <f>IF(MAX(B437,E437)&gt;=Thresholds!$C$7,"Tier 3 - High",IF(MAX(B437,E437)&gt;=Thresholds!$C$6,"Tier 2 - Moderate","Tier 1 - Low"))</f>
        <v>Tier 1 - Low</v>
      </c>
      <c r="K437" s="7" t="str">
        <f t="shared" si="2"/>
        <v>Low Volume - Setup Needed</v>
      </c>
      <c r="L437" s="10" t="str">
        <f t="shared" si="3"/>
        <v>Low/no B2B traffic yet - set a Business Price (5-10% below retail) and Quantity Discount tiers (e.g. 5+ units 5% off, 10+ units 10% off) to attract first B2B interest; add bulk/case-pack info to title and bullets</v>
      </c>
    </row>
    <row r="438" ht="14.25" customHeight="1">
      <c r="A438" s="10" t="s">
        <v>473</v>
      </c>
      <c r="B438" s="10">
        <v>0.0</v>
      </c>
      <c r="C438" s="10">
        <v>0.0</v>
      </c>
      <c r="D438" s="10">
        <v>0.0</v>
      </c>
      <c r="E438" s="10">
        <v>1.0</v>
      </c>
      <c r="F438" s="10">
        <v>1.0</v>
      </c>
      <c r="G438" s="10">
        <v>0.0</v>
      </c>
      <c r="H438" s="14">
        <v>1.0</v>
      </c>
      <c r="I438" s="7">
        <f t="shared" si="1"/>
        <v>1</v>
      </c>
      <c r="J438" s="10" t="str">
        <f>IF(MAX(B438,E438)&gt;=Thresholds!$C$7,"Tier 3 - High",IF(MAX(B438,E438)&gt;=Thresholds!$C$6,"Tier 2 - Moderate","Tier 1 - Low"))</f>
        <v>Tier 1 - Low</v>
      </c>
      <c r="K438" s="7" t="str">
        <f t="shared" si="2"/>
        <v>Low Volume - Setup Needed</v>
      </c>
      <c r="L438" s="10" t="str">
        <f t="shared" si="3"/>
        <v>Low/no B2B traffic yet - set a Business Price (5-10% below retail) and Quantity Discount tiers (e.g. 5+ units 5% off, 10+ units 10% off) to attract first B2B interest; add bulk/case-pack info to title and bullets</v>
      </c>
    </row>
    <row r="439" ht="14.25" customHeight="1">
      <c r="A439" s="10" t="s">
        <v>474</v>
      </c>
      <c r="B439" s="10">
        <v>0.0</v>
      </c>
      <c r="C439" s="10">
        <v>0.0</v>
      </c>
      <c r="D439" s="10">
        <v>0.0</v>
      </c>
      <c r="E439" s="10">
        <v>1.0</v>
      </c>
      <c r="F439" s="10">
        <v>1.0</v>
      </c>
      <c r="G439" s="10">
        <v>0.0</v>
      </c>
      <c r="H439" s="14">
        <v>1.0</v>
      </c>
      <c r="I439" s="7">
        <f t="shared" si="1"/>
        <v>1</v>
      </c>
      <c r="J439" s="10" t="str">
        <f>IF(MAX(B439,E439)&gt;=Thresholds!$C$7,"Tier 3 - High",IF(MAX(B439,E439)&gt;=Thresholds!$C$6,"Tier 2 - Moderate","Tier 1 - Low"))</f>
        <v>Tier 1 - Low</v>
      </c>
      <c r="K439" s="7" t="str">
        <f t="shared" si="2"/>
        <v>Low Volume - Setup Needed</v>
      </c>
      <c r="L439" s="10" t="str">
        <f t="shared" si="3"/>
        <v>Low/no B2B traffic yet - set a Business Price (5-10% below retail) and Quantity Discount tiers (e.g. 5+ units 5% off, 10+ units 10% off) to attract first B2B interest; add bulk/case-pack info to title and bullets</v>
      </c>
    </row>
    <row r="440" ht="14.25" customHeight="1">
      <c r="A440" s="10" t="s">
        <v>475</v>
      </c>
      <c r="B440" s="10">
        <v>0.0</v>
      </c>
      <c r="C440" s="10">
        <v>0.0</v>
      </c>
      <c r="D440" s="10">
        <v>0.0</v>
      </c>
      <c r="E440" s="10">
        <v>1.0</v>
      </c>
      <c r="F440" s="10">
        <v>1.0</v>
      </c>
      <c r="G440" s="10">
        <v>0.0</v>
      </c>
      <c r="H440" s="14">
        <v>1.0</v>
      </c>
      <c r="I440" s="7">
        <f t="shared" si="1"/>
        <v>1</v>
      </c>
      <c r="J440" s="10" t="str">
        <f>IF(MAX(B440,E440)&gt;=Thresholds!$C$7,"Tier 3 - High",IF(MAX(B440,E440)&gt;=Thresholds!$C$6,"Tier 2 - Moderate","Tier 1 - Low"))</f>
        <v>Tier 1 - Low</v>
      </c>
      <c r="K440" s="7" t="str">
        <f t="shared" si="2"/>
        <v>Low Volume - Setup Needed</v>
      </c>
      <c r="L440" s="10" t="str">
        <f t="shared" si="3"/>
        <v>Low/no B2B traffic yet - set a Business Price (5-10% below retail) and Quantity Discount tiers (e.g. 5+ units 5% off, 10+ units 10% off) to attract first B2B interest; add bulk/case-pack info to title and bullets</v>
      </c>
    </row>
    <row r="441" ht="14.25" customHeight="1">
      <c r="A441" s="10" t="s">
        <v>476</v>
      </c>
      <c r="B441" s="10">
        <v>0.0</v>
      </c>
      <c r="C441" s="10">
        <v>0.0</v>
      </c>
      <c r="D441" s="10">
        <v>0.0</v>
      </c>
      <c r="E441" s="10">
        <v>1.0</v>
      </c>
      <c r="F441" s="10">
        <v>1.0</v>
      </c>
      <c r="G441" s="10">
        <v>0.0</v>
      </c>
      <c r="H441" s="14">
        <v>1.0</v>
      </c>
      <c r="I441" s="7">
        <f t="shared" si="1"/>
        <v>1</v>
      </c>
      <c r="J441" s="10" t="str">
        <f>IF(MAX(B441,E441)&gt;=Thresholds!$C$7,"Tier 3 - High",IF(MAX(B441,E441)&gt;=Thresholds!$C$6,"Tier 2 - Moderate","Tier 1 - Low"))</f>
        <v>Tier 1 - Low</v>
      </c>
      <c r="K441" s="7" t="str">
        <f t="shared" si="2"/>
        <v>Low Volume - Setup Needed</v>
      </c>
      <c r="L441" s="10" t="str">
        <f t="shared" si="3"/>
        <v>Low/no B2B traffic yet - set a Business Price (5-10% below retail) and Quantity Discount tiers (e.g. 5+ units 5% off, 10+ units 10% off) to attract first B2B interest; add bulk/case-pack info to title and bullets</v>
      </c>
    </row>
    <row r="442" ht="14.25" customHeight="1">
      <c r="A442" s="10" t="s">
        <v>477</v>
      </c>
      <c r="B442" s="10">
        <v>0.0</v>
      </c>
      <c r="C442" s="10">
        <v>0.0</v>
      </c>
      <c r="D442" s="10">
        <v>0.0</v>
      </c>
      <c r="E442" s="10">
        <v>1.0</v>
      </c>
      <c r="F442" s="10">
        <v>1.0</v>
      </c>
      <c r="G442" s="10">
        <v>0.0</v>
      </c>
      <c r="H442" s="14">
        <v>0.9048</v>
      </c>
      <c r="I442" s="7">
        <f t="shared" si="1"/>
        <v>1</v>
      </c>
      <c r="J442" s="10" t="str">
        <f>IF(MAX(B442,E442)&gt;=Thresholds!$C$7,"Tier 3 - High",IF(MAX(B442,E442)&gt;=Thresholds!$C$6,"Tier 2 - Moderate","Tier 1 - Low"))</f>
        <v>Tier 1 - Low</v>
      </c>
      <c r="K442" s="7" t="str">
        <f t="shared" si="2"/>
        <v>Low Volume - Setup Needed</v>
      </c>
      <c r="L442" s="10" t="str">
        <f t="shared" si="3"/>
        <v>Low/no B2B traffic yet - set a Business Price (5-10% below retail) and Quantity Discount tiers (e.g. 5+ units 5% off, 10+ units 10% off) to attract first B2B interest; add bulk/case-pack info to title and bullets</v>
      </c>
    </row>
    <row r="443" ht="14.25" customHeight="1">
      <c r="A443" s="10" t="s">
        <v>478</v>
      </c>
      <c r="B443" s="10">
        <v>0.0</v>
      </c>
      <c r="C443" s="10">
        <v>0.0</v>
      </c>
      <c r="D443" s="10">
        <v>0.0</v>
      </c>
      <c r="E443" s="10">
        <v>1.0</v>
      </c>
      <c r="F443" s="10">
        <v>1.0</v>
      </c>
      <c r="G443" s="10">
        <v>0.0</v>
      </c>
      <c r="H443" s="14">
        <v>1.0</v>
      </c>
      <c r="I443" s="7">
        <f t="shared" si="1"/>
        <v>1</v>
      </c>
      <c r="J443" s="10" t="str">
        <f>IF(MAX(B443,E443)&gt;=Thresholds!$C$7,"Tier 3 - High",IF(MAX(B443,E443)&gt;=Thresholds!$C$6,"Tier 2 - Moderate","Tier 1 - Low"))</f>
        <v>Tier 1 - Low</v>
      </c>
      <c r="K443" s="7" t="str">
        <f t="shared" si="2"/>
        <v>Low Volume - Setup Needed</v>
      </c>
      <c r="L443" s="10" t="str">
        <f t="shared" si="3"/>
        <v>Low/no B2B traffic yet - set a Business Price (5-10% below retail) and Quantity Discount tiers (e.g. 5+ units 5% off, 10+ units 10% off) to attract first B2B interest; add bulk/case-pack info to title and bullets</v>
      </c>
    </row>
    <row r="444" ht="14.25" customHeight="1">
      <c r="A444" s="10" t="s">
        <v>479</v>
      </c>
      <c r="B444" s="10">
        <v>0.0</v>
      </c>
      <c r="C444" s="10">
        <v>0.0</v>
      </c>
      <c r="D444" s="10">
        <v>0.0</v>
      </c>
      <c r="E444" s="10">
        <v>1.0</v>
      </c>
      <c r="F444" s="10">
        <v>1.0</v>
      </c>
      <c r="G444" s="10">
        <v>0.0</v>
      </c>
      <c r="H444" s="14">
        <v>0.9286</v>
      </c>
      <c r="I444" s="7">
        <f t="shared" si="1"/>
        <v>1</v>
      </c>
      <c r="J444" s="10" t="str">
        <f>IF(MAX(B444,E444)&gt;=Thresholds!$C$7,"Tier 3 - High",IF(MAX(B444,E444)&gt;=Thresholds!$C$6,"Tier 2 - Moderate","Tier 1 - Low"))</f>
        <v>Tier 1 - Low</v>
      </c>
      <c r="K444" s="7" t="str">
        <f t="shared" si="2"/>
        <v>Low Volume - Setup Needed</v>
      </c>
      <c r="L444" s="10" t="str">
        <f t="shared" si="3"/>
        <v>Low/no B2B traffic yet - set a Business Price (5-10% below retail) and Quantity Discount tiers (e.g. 5+ units 5% off, 10+ units 10% off) to attract first B2B interest; add bulk/case-pack info to title and bullets</v>
      </c>
    </row>
    <row r="445" ht="14.25" customHeight="1">
      <c r="A445" s="10" t="s">
        <v>480</v>
      </c>
      <c r="B445" s="10">
        <v>0.0</v>
      </c>
      <c r="C445" s="10">
        <v>0.0</v>
      </c>
      <c r="D445" s="10">
        <v>0.0</v>
      </c>
      <c r="E445" s="10">
        <v>1.0</v>
      </c>
      <c r="F445" s="10">
        <v>1.0</v>
      </c>
      <c r="G445" s="10">
        <v>0.0</v>
      </c>
      <c r="H445" s="14">
        <v>0.9792</v>
      </c>
      <c r="I445" s="7">
        <f t="shared" si="1"/>
        <v>1</v>
      </c>
      <c r="J445" s="10" t="str">
        <f>IF(MAX(B445,E445)&gt;=Thresholds!$C$7,"Tier 3 - High",IF(MAX(B445,E445)&gt;=Thresholds!$C$6,"Tier 2 - Moderate","Tier 1 - Low"))</f>
        <v>Tier 1 - Low</v>
      </c>
      <c r="K445" s="7" t="str">
        <f t="shared" si="2"/>
        <v>Low Volume - Setup Needed</v>
      </c>
      <c r="L445" s="10" t="str">
        <f t="shared" si="3"/>
        <v>Low/no B2B traffic yet - set a Business Price (5-10% below retail) and Quantity Discount tiers (e.g. 5+ units 5% off, 10+ units 10% off) to attract first B2B interest; add bulk/case-pack info to title and bullets</v>
      </c>
    </row>
    <row r="446" ht="14.25" customHeight="1">
      <c r="A446" s="10" t="s">
        <v>481</v>
      </c>
      <c r="B446" s="10">
        <v>0.0</v>
      </c>
      <c r="C446" s="10">
        <v>0.0</v>
      </c>
      <c r="D446" s="10">
        <v>0.0</v>
      </c>
      <c r="E446" s="10">
        <v>1.0</v>
      </c>
      <c r="F446" s="10">
        <v>1.0</v>
      </c>
      <c r="G446" s="10">
        <v>0.0</v>
      </c>
      <c r="H446" s="14">
        <v>1.0</v>
      </c>
      <c r="I446" s="7">
        <f t="shared" si="1"/>
        <v>1</v>
      </c>
      <c r="J446" s="10" t="str">
        <f>IF(MAX(B446,E446)&gt;=Thresholds!$C$7,"Tier 3 - High",IF(MAX(B446,E446)&gt;=Thresholds!$C$6,"Tier 2 - Moderate","Tier 1 - Low"))</f>
        <v>Tier 1 - Low</v>
      </c>
      <c r="K446" s="7" t="str">
        <f t="shared" si="2"/>
        <v>Low Volume - Setup Needed</v>
      </c>
      <c r="L446" s="10" t="str">
        <f t="shared" si="3"/>
        <v>Low/no B2B traffic yet - set a Business Price (5-10% below retail) and Quantity Discount tiers (e.g. 5+ units 5% off, 10+ units 10% off) to attract first B2B interest; add bulk/case-pack info to title and bullets</v>
      </c>
    </row>
    <row r="447" ht="14.25" customHeight="1">
      <c r="A447" s="10" t="s">
        <v>482</v>
      </c>
      <c r="B447" s="10">
        <v>0.0</v>
      </c>
      <c r="C447" s="10">
        <v>0.0</v>
      </c>
      <c r="D447" s="10">
        <v>0.0</v>
      </c>
      <c r="E447" s="10">
        <v>1.0</v>
      </c>
      <c r="F447" s="10">
        <v>3.0</v>
      </c>
      <c r="G447" s="10">
        <v>0.0</v>
      </c>
      <c r="H447" s="14">
        <v>1.0</v>
      </c>
      <c r="I447" s="7">
        <f t="shared" si="1"/>
        <v>1</v>
      </c>
      <c r="J447" s="10" t="str">
        <f>IF(MAX(B447,E447)&gt;=Thresholds!$C$7,"Tier 3 - High",IF(MAX(B447,E447)&gt;=Thresholds!$C$6,"Tier 2 - Moderate","Tier 1 - Low"))</f>
        <v>Tier 1 - Low</v>
      </c>
      <c r="K447" s="7" t="str">
        <f t="shared" si="2"/>
        <v>Low Volume - Setup Needed</v>
      </c>
      <c r="L447" s="10" t="str">
        <f t="shared" si="3"/>
        <v>Low/no B2B traffic yet - set a Business Price (5-10% below retail) and Quantity Discount tiers (e.g. 5+ units 5% off, 10+ units 10% off) to attract first B2B interest; add bulk/case-pack info to title and bullets</v>
      </c>
    </row>
    <row r="448" ht="14.25" customHeight="1">
      <c r="A448" s="10" t="s">
        <v>483</v>
      </c>
      <c r="B448" s="10">
        <v>0.0</v>
      </c>
      <c r="C448" s="10">
        <v>0.0</v>
      </c>
      <c r="D448" s="10">
        <v>0.0</v>
      </c>
      <c r="E448" s="10">
        <v>1.0</v>
      </c>
      <c r="F448" s="10">
        <v>1.0</v>
      </c>
      <c r="G448" s="10">
        <v>0.0</v>
      </c>
      <c r="H448" s="14">
        <v>0.5</v>
      </c>
      <c r="I448" s="7">
        <f t="shared" si="1"/>
        <v>1</v>
      </c>
      <c r="J448" s="10" t="str">
        <f>IF(MAX(B448,E448)&gt;=Thresholds!$C$7,"Tier 3 - High",IF(MAX(B448,E448)&gt;=Thresholds!$C$6,"Tier 2 - Moderate","Tier 1 - Low"))</f>
        <v>Tier 1 - Low</v>
      </c>
      <c r="K448" s="7" t="str">
        <f t="shared" si="2"/>
        <v>Low Volume - Setup Needed</v>
      </c>
      <c r="L448" s="10" t="str">
        <f t="shared" si="3"/>
        <v>Low/no B2B traffic yet - set a Business Price (5-10% below retail) and Quantity Discount tiers (e.g. 5+ units 5% off, 10+ units 10% off) to attract first B2B interest; add bulk/case-pack info to title and bullets</v>
      </c>
    </row>
    <row r="449" ht="14.25" customHeight="1">
      <c r="A449" s="10" t="s">
        <v>484</v>
      </c>
      <c r="B449" s="10">
        <v>1.0</v>
      </c>
      <c r="C449" s="10">
        <v>1.0</v>
      </c>
      <c r="D449" s="10">
        <v>0.0</v>
      </c>
      <c r="E449" s="10">
        <v>2.0</v>
      </c>
      <c r="F449" s="10">
        <v>4.0</v>
      </c>
      <c r="G449" s="10">
        <v>0.0</v>
      </c>
      <c r="H449" s="14">
        <v>0.9024</v>
      </c>
      <c r="I449" s="7">
        <f t="shared" si="1"/>
        <v>1</v>
      </c>
      <c r="J449" s="10" t="str">
        <f>IF(MAX(B449,E449)&gt;=Thresholds!$C$7,"Tier 3 - High",IF(MAX(B449,E449)&gt;=Thresholds!$C$6,"Tier 2 - Moderate","Tier 1 - Low"))</f>
        <v>Tier 1 - Low</v>
      </c>
      <c r="K449" s="7" t="str">
        <f t="shared" si="2"/>
        <v>Low Volume - Setup Needed</v>
      </c>
      <c r="L449" s="10" t="str">
        <f t="shared" si="3"/>
        <v>Low/no B2B traffic yet - set a Business Price (5-10% below retail) and Quantity Discount tiers (e.g. 5+ units 5% off, 10+ units 10% off) to attract first B2B interest; add bulk/case-pack info to title and bullets</v>
      </c>
    </row>
    <row r="450" ht="14.25" customHeight="1">
      <c r="A450" s="10" t="s">
        <v>485</v>
      </c>
      <c r="B450" s="10">
        <v>0.0</v>
      </c>
      <c r="C450" s="10">
        <v>0.0</v>
      </c>
      <c r="D450" s="10">
        <v>0.0</v>
      </c>
      <c r="E450" s="10">
        <v>1.0</v>
      </c>
      <c r="F450" s="10">
        <v>1.0</v>
      </c>
      <c r="G450" s="10">
        <v>0.0</v>
      </c>
      <c r="H450" s="14">
        <v>1.0</v>
      </c>
      <c r="I450" s="7">
        <f t="shared" si="1"/>
        <v>1</v>
      </c>
      <c r="J450" s="10" t="str">
        <f>IF(MAX(B450,E450)&gt;=Thresholds!$C$7,"Tier 3 - High",IF(MAX(B450,E450)&gt;=Thresholds!$C$6,"Tier 2 - Moderate","Tier 1 - Low"))</f>
        <v>Tier 1 - Low</v>
      </c>
      <c r="K450" s="7" t="str">
        <f t="shared" si="2"/>
        <v>Low Volume - Setup Needed</v>
      </c>
      <c r="L450" s="10" t="str">
        <f t="shared" si="3"/>
        <v>Low/no B2B traffic yet - set a Business Price (5-10% below retail) and Quantity Discount tiers (e.g. 5+ units 5% off, 10+ units 10% off) to attract first B2B interest; add bulk/case-pack info to title and bullets</v>
      </c>
    </row>
    <row r="451" ht="14.25" customHeight="1">
      <c r="A451" s="10" t="s">
        <v>486</v>
      </c>
      <c r="B451" s="10">
        <v>0.0</v>
      </c>
      <c r="C451" s="10">
        <v>0.0</v>
      </c>
      <c r="D451" s="10">
        <v>0.0</v>
      </c>
      <c r="E451" s="10">
        <v>1.0</v>
      </c>
      <c r="F451" s="10">
        <v>1.0</v>
      </c>
      <c r="G451" s="10">
        <v>0.0</v>
      </c>
      <c r="H451" s="14">
        <v>1.0</v>
      </c>
      <c r="I451" s="7">
        <f t="shared" si="1"/>
        <v>1</v>
      </c>
      <c r="J451" s="10" t="str">
        <f>IF(MAX(B451,E451)&gt;=Thresholds!$C$7,"Tier 3 - High",IF(MAX(B451,E451)&gt;=Thresholds!$C$6,"Tier 2 - Moderate","Tier 1 - Low"))</f>
        <v>Tier 1 - Low</v>
      </c>
      <c r="K451" s="7" t="str">
        <f t="shared" si="2"/>
        <v>Low Volume - Setup Needed</v>
      </c>
      <c r="L451" s="10" t="str">
        <f t="shared" si="3"/>
        <v>Low/no B2B traffic yet - set a Business Price (5-10% below retail) and Quantity Discount tiers (e.g. 5+ units 5% off, 10+ units 10% off) to attract first B2B interest; add bulk/case-pack info to title and bullets</v>
      </c>
    </row>
    <row r="452" ht="14.25" customHeight="1">
      <c r="A452" s="10" t="s">
        <v>487</v>
      </c>
      <c r="B452" s="10">
        <v>0.0</v>
      </c>
      <c r="C452" s="10">
        <v>0.0</v>
      </c>
      <c r="D452" s="10">
        <v>0.0</v>
      </c>
      <c r="E452" s="10">
        <v>1.0</v>
      </c>
      <c r="F452" s="10">
        <v>1.0</v>
      </c>
      <c r="G452" s="10">
        <v>0.0</v>
      </c>
      <c r="H452" s="14">
        <v>0.9492</v>
      </c>
      <c r="I452" s="7">
        <f t="shared" si="1"/>
        <v>1</v>
      </c>
      <c r="J452" s="10" t="str">
        <f>IF(MAX(B452,E452)&gt;=Thresholds!$C$7,"Tier 3 - High",IF(MAX(B452,E452)&gt;=Thresholds!$C$6,"Tier 2 - Moderate","Tier 1 - Low"))</f>
        <v>Tier 1 - Low</v>
      </c>
      <c r="K452" s="7" t="str">
        <f t="shared" si="2"/>
        <v>Low Volume - Setup Needed</v>
      </c>
      <c r="L452" s="10" t="str">
        <f t="shared" si="3"/>
        <v>Low/no B2B traffic yet - set a Business Price (5-10% below retail) and Quantity Discount tiers (e.g. 5+ units 5% off, 10+ units 10% off) to attract first B2B interest; add bulk/case-pack info to title and bullets</v>
      </c>
    </row>
    <row r="453" ht="14.25" customHeight="1">
      <c r="A453" s="10" t="s">
        <v>488</v>
      </c>
      <c r="B453" s="10">
        <v>0.0</v>
      </c>
      <c r="C453" s="10">
        <v>0.0</v>
      </c>
      <c r="D453" s="10">
        <v>0.0</v>
      </c>
      <c r="E453" s="10">
        <v>1.0</v>
      </c>
      <c r="F453" s="10">
        <v>1.0</v>
      </c>
      <c r="G453" s="10">
        <v>0.0</v>
      </c>
      <c r="H453" s="14">
        <v>1.0</v>
      </c>
      <c r="I453" s="7">
        <f t="shared" si="1"/>
        <v>1</v>
      </c>
      <c r="J453" s="10" t="str">
        <f>IF(MAX(B453,E453)&gt;=Thresholds!$C$7,"Tier 3 - High",IF(MAX(B453,E453)&gt;=Thresholds!$C$6,"Tier 2 - Moderate","Tier 1 - Low"))</f>
        <v>Tier 1 - Low</v>
      </c>
      <c r="K453" s="7" t="str">
        <f t="shared" si="2"/>
        <v>Low Volume - Setup Needed</v>
      </c>
      <c r="L453" s="10" t="str">
        <f t="shared" si="3"/>
        <v>Low/no B2B traffic yet - set a Business Price (5-10% below retail) and Quantity Discount tiers (e.g. 5+ units 5% off, 10+ units 10% off) to attract first B2B interest; add bulk/case-pack info to title and bullets</v>
      </c>
    </row>
    <row r="454" ht="14.25" customHeight="1">
      <c r="A454" s="10" t="s">
        <v>489</v>
      </c>
      <c r="B454" s="10">
        <v>0.0</v>
      </c>
      <c r="C454" s="10">
        <v>0.0</v>
      </c>
      <c r="D454" s="10">
        <v>0.0</v>
      </c>
      <c r="E454" s="10">
        <v>1.0</v>
      </c>
      <c r="F454" s="10">
        <v>2.0</v>
      </c>
      <c r="G454" s="10">
        <v>0.0</v>
      </c>
      <c r="H454" s="14">
        <v>0.1845</v>
      </c>
      <c r="I454" s="7">
        <f t="shared" si="1"/>
        <v>1</v>
      </c>
      <c r="J454" s="10" t="str">
        <f>IF(MAX(B454,E454)&gt;=Thresholds!$C$7,"Tier 3 - High",IF(MAX(B454,E454)&gt;=Thresholds!$C$6,"Tier 2 - Moderate","Tier 1 - Low"))</f>
        <v>Tier 1 - Low</v>
      </c>
      <c r="K454" s="7" t="str">
        <f t="shared" si="2"/>
        <v>Low Volume - Setup Needed</v>
      </c>
      <c r="L454" s="10" t="str">
        <f t="shared" si="3"/>
        <v>Low/no B2B traffic yet - set a Business Price (5-10% below retail) and Quantity Discount tiers (e.g. 5+ units 5% off, 10+ units 10% off) to attract first B2B interest; add bulk/case-pack info to title and bullets</v>
      </c>
    </row>
    <row r="455" ht="14.25" customHeight="1">
      <c r="A455" s="10" t="s">
        <v>490</v>
      </c>
      <c r="B455" s="10">
        <v>0.0</v>
      </c>
      <c r="C455" s="10">
        <v>0.0</v>
      </c>
      <c r="D455" s="10">
        <v>0.0</v>
      </c>
      <c r="E455" s="10">
        <v>1.0</v>
      </c>
      <c r="F455" s="10">
        <v>1.0</v>
      </c>
      <c r="G455" s="10">
        <v>0.0</v>
      </c>
      <c r="H455" s="14">
        <v>1.0</v>
      </c>
      <c r="I455" s="7">
        <f t="shared" si="1"/>
        <v>1</v>
      </c>
      <c r="J455" s="10" t="str">
        <f>IF(MAX(B455,E455)&gt;=Thresholds!$C$7,"Tier 3 - High",IF(MAX(B455,E455)&gt;=Thresholds!$C$6,"Tier 2 - Moderate","Tier 1 - Low"))</f>
        <v>Tier 1 - Low</v>
      </c>
      <c r="K455" s="7" t="str">
        <f t="shared" si="2"/>
        <v>Low Volume - Setup Needed</v>
      </c>
      <c r="L455" s="10" t="str">
        <f t="shared" si="3"/>
        <v>Low/no B2B traffic yet - set a Business Price (5-10% below retail) and Quantity Discount tiers (e.g. 5+ units 5% off, 10+ units 10% off) to attract first B2B interest; add bulk/case-pack info to title and bullets</v>
      </c>
    </row>
    <row r="456" ht="14.25" customHeight="1">
      <c r="A456" s="10" t="s">
        <v>491</v>
      </c>
      <c r="B456" s="10">
        <v>0.0</v>
      </c>
      <c r="C456" s="10">
        <v>0.0</v>
      </c>
      <c r="D456" s="10">
        <v>0.0</v>
      </c>
      <c r="E456" s="10">
        <v>1.0</v>
      </c>
      <c r="F456" s="10">
        <v>1.0</v>
      </c>
      <c r="G456" s="10">
        <v>0.0</v>
      </c>
      <c r="H456" s="14">
        <v>0.1111</v>
      </c>
      <c r="I456" s="7">
        <f t="shared" si="1"/>
        <v>1</v>
      </c>
      <c r="J456" s="10" t="str">
        <f>IF(MAX(B456,E456)&gt;=Thresholds!$C$7,"Tier 3 - High",IF(MAX(B456,E456)&gt;=Thresholds!$C$6,"Tier 2 - Moderate","Tier 1 - Low"))</f>
        <v>Tier 1 - Low</v>
      </c>
      <c r="K456" s="7" t="str">
        <f t="shared" si="2"/>
        <v>Low Volume - Setup Needed</v>
      </c>
      <c r="L456" s="10" t="str">
        <f t="shared" si="3"/>
        <v>Low/no B2B traffic yet - set a Business Price (5-10% below retail) and Quantity Discount tiers (e.g. 5+ units 5% off, 10+ units 10% off) to attract first B2B interest; add bulk/case-pack info to title and bullets</v>
      </c>
    </row>
    <row r="457" ht="14.25" customHeight="1">
      <c r="A457" s="10" t="s">
        <v>492</v>
      </c>
      <c r="B457" s="10">
        <v>0.0</v>
      </c>
      <c r="C457" s="10">
        <v>0.0</v>
      </c>
      <c r="D457" s="10">
        <v>0.0</v>
      </c>
      <c r="E457" s="10">
        <v>1.0</v>
      </c>
      <c r="F457" s="10">
        <v>2.0</v>
      </c>
      <c r="G457" s="10">
        <v>0.0</v>
      </c>
      <c r="H457" s="14">
        <v>1.0</v>
      </c>
      <c r="I457" s="7">
        <f t="shared" si="1"/>
        <v>1</v>
      </c>
      <c r="J457" s="10" t="str">
        <f>IF(MAX(B457,E457)&gt;=Thresholds!$C$7,"Tier 3 - High",IF(MAX(B457,E457)&gt;=Thresholds!$C$6,"Tier 2 - Moderate","Tier 1 - Low"))</f>
        <v>Tier 1 - Low</v>
      </c>
      <c r="K457" s="7" t="str">
        <f t="shared" si="2"/>
        <v>Low Volume - Setup Needed</v>
      </c>
      <c r="L457" s="10" t="str">
        <f t="shared" si="3"/>
        <v>Low/no B2B traffic yet - set a Business Price (5-10% below retail) and Quantity Discount tiers (e.g. 5+ units 5% off, 10+ units 10% off) to attract first B2B interest; add bulk/case-pack info to title and bullets</v>
      </c>
    </row>
    <row r="458" ht="14.25" customHeight="1">
      <c r="A458" s="10" t="s">
        <v>493</v>
      </c>
      <c r="B458" s="10">
        <v>0.0</v>
      </c>
      <c r="C458" s="10">
        <v>0.0</v>
      </c>
      <c r="D458" s="10">
        <v>0.0</v>
      </c>
      <c r="E458" s="10">
        <v>1.0</v>
      </c>
      <c r="F458" s="10">
        <v>1.0</v>
      </c>
      <c r="G458" s="10">
        <v>0.0</v>
      </c>
      <c r="H458" s="14">
        <v>0.9166</v>
      </c>
      <c r="I458" s="7">
        <f t="shared" si="1"/>
        <v>1</v>
      </c>
      <c r="J458" s="10" t="str">
        <f>IF(MAX(B458,E458)&gt;=Thresholds!$C$7,"Tier 3 - High",IF(MAX(B458,E458)&gt;=Thresholds!$C$6,"Tier 2 - Moderate","Tier 1 - Low"))</f>
        <v>Tier 1 - Low</v>
      </c>
      <c r="K458" s="7" t="str">
        <f t="shared" si="2"/>
        <v>Low Volume - Setup Needed</v>
      </c>
      <c r="L458" s="10" t="str">
        <f t="shared" si="3"/>
        <v>Low/no B2B traffic yet - set a Business Price (5-10% below retail) and Quantity Discount tiers (e.g. 5+ units 5% off, 10+ units 10% off) to attract first B2B interest; add bulk/case-pack info to title and bullets</v>
      </c>
    </row>
    <row r="459" ht="14.25" customHeight="1">
      <c r="A459" s="10" t="s">
        <v>494</v>
      </c>
      <c r="B459" s="10">
        <v>0.0</v>
      </c>
      <c r="C459" s="10">
        <v>0.0</v>
      </c>
      <c r="D459" s="10">
        <v>0.0</v>
      </c>
      <c r="E459" s="10">
        <v>1.0</v>
      </c>
      <c r="F459" s="10">
        <v>1.0</v>
      </c>
      <c r="G459" s="10">
        <v>0.0</v>
      </c>
      <c r="H459" s="14">
        <v>0.0</v>
      </c>
      <c r="I459" s="7">
        <f t="shared" si="1"/>
        <v>1</v>
      </c>
      <c r="J459" s="10" t="str">
        <f>IF(MAX(B459,E459)&gt;=Thresholds!$C$7,"Tier 3 - High",IF(MAX(B459,E459)&gt;=Thresholds!$C$6,"Tier 2 - Moderate","Tier 1 - Low"))</f>
        <v>Tier 1 - Low</v>
      </c>
      <c r="K459" s="7" t="str">
        <f t="shared" si="2"/>
        <v>Low Volume - Setup Needed</v>
      </c>
      <c r="L459" s="10" t="str">
        <f t="shared" si="3"/>
        <v>Low/no B2B traffic yet - set a Business Price (5-10% below retail) and Quantity Discount tiers (e.g. 5+ units 5% off, 10+ units 10% off) to attract first B2B interest; add bulk/case-pack info to title and bullets</v>
      </c>
    </row>
    <row r="460" ht="14.25" customHeight="1">
      <c r="A460" s="10" t="s">
        <v>495</v>
      </c>
      <c r="B460" s="10">
        <v>0.0</v>
      </c>
      <c r="C460" s="10">
        <v>0.0</v>
      </c>
      <c r="D460" s="10">
        <v>0.0</v>
      </c>
      <c r="E460" s="10">
        <v>1.0</v>
      </c>
      <c r="F460" s="10">
        <v>1.0</v>
      </c>
      <c r="G460" s="10">
        <v>0.0</v>
      </c>
      <c r="H460" s="14">
        <v>1.0</v>
      </c>
      <c r="I460" s="7">
        <f t="shared" si="1"/>
        <v>1</v>
      </c>
      <c r="J460" s="10" t="str">
        <f>IF(MAX(B460,E460)&gt;=Thresholds!$C$7,"Tier 3 - High",IF(MAX(B460,E460)&gt;=Thresholds!$C$6,"Tier 2 - Moderate","Tier 1 - Low"))</f>
        <v>Tier 1 - Low</v>
      </c>
      <c r="K460" s="7" t="str">
        <f t="shared" si="2"/>
        <v>Low Volume - Setup Needed</v>
      </c>
      <c r="L460" s="10" t="str">
        <f t="shared" si="3"/>
        <v>Low/no B2B traffic yet - set a Business Price (5-10% below retail) and Quantity Discount tiers (e.g. 5+ units 5% off, 10+ units 10% off) to attract first B2B interest; add bulk/case-pack info to title and bullets</v>
      </c>
    </row>
    <row r="461" ht="14.25" customHeight="1">
      <c r="A461" s="10" t="s">
        <v>496</v>
      </c>
      <c r="B461" s="10">
        <v>1.0</v>
      </c>
      <c r="C461" s="10">
        <v>3.0</v>
      </c>
      <c r="D461" s="10">
        <v>0.0</v>
      </c>
      <c r="E461" s="10">
        <v>2.0</v>
      </c>
      <c r="F461" s="10">
        <v>2.0</v>
      </c>
      <c r="G461" s="10">
        <v>1.0</v>
      </c>
      <c r="H461" s="14">
        <v>0.9762</v>
      </c>
      <c r="I461" s="7">
        <f t="shared" si="1"/>
        <v>1</v>
      </c>
      <c r="J461" s="10" t="str">
        <f>IF(MAX(B461,E461)&gt;=Thresholds!$C$7,"Tier 3 - High",IF(MAX(B461,E461)&gt;=Thresholds!$C$6,"Tier 2 - Moderate","Tier 1 - Low"))</f>
        <v>Tier 1 - Low</v>
      </c>
      <c r="K461" s="7" t="str">
        <f t="shared" si="2"/>
        <v>Low Volume - Setup Needed</v>
      </c>
      <c r="L461" s="10" t="str">
        <f t="shared" si="3"/>
        <v>Low/no B2B traffic yet - set a Business Price (5-10% below retail) and Quantity Discount tiers (e.g. 5+ units 5% off, 10+ units 10% off) to attract first B2B interest; add bulk/case-pack info to title and bullets</v>
      </c>
    </row>
    <row r="462" ht="14.25" customHeight="1">
      <c r="A462" s="10" t="s">
        <v>497</v>
      </c>
      <c r="B462" s="10">
        <v>0.0</v>
      </c>
      <c r="C462" s="10">
        <v>0.0</v>
      </c>
      <c r="D462" s="10">
        <v>0.0</v>
      </c>
      <c r="E462" s="10">
        <v>1.0</v>
      </c>
      <c r="F462" s="10">
        <v>1.0</v>
      </c>
      <c r="G462" s="10">
        <v>0.0</v>
      </c>
      <c r="H462" s="14">
        <v>0.8</v>
      </c>
      <c r="I462" s="7">
        <f t="shared" si="1"/>
        <v>1</v>
      </c>
      <c r="J462" s="10" t="str">
        <f>IF(MAX(B462,E462)&gt;=Thresholds!$C$7,"Tier 3 - High",IF(MAX(B462,E462)&gt;=Thresholds!$C$6,"Tier 2 - Moderate","Tier 1 - Low"))</f>
        <v>Tier 1 - Low</v>
      </c>
      <c r="K462" s="7" t="str">
        <f t="shared" si="2"/>
        <v>Low Volume - Setup Needed</v>
      </c>
      <c r="L462" s="10" t="str">
        <f t="shared" si="3"/>
        <v>Low/no B2B traffic yet - set a Business Price (5-10% below retail) and Quantity Discount tiers (e.g. 5+ units 5% off, 10+ units 10% off) to attract first B2B interest; add bulk/case-pack info to title and bullets</v>
      </c>
    </row>
    <row r="463" ht="14.25" customHeight="1">
      <c r="A463" s="10" t="s">
        <v>498</v>
      </c>
      <c r="B463" s="10">
        <v>0.0</v>
      </c>
      <c r="C463" s="10">
        <v>0.0</v>
      </c>
      <c r="D463" s="10">
        <v>0.0</v>
      </c>
      <c r="E463" s="10">
        <v>1.0</v>
      </c>
      <c r="F463" s="10">
        <v>2.0</v>
      </c>
      <c r="G463" s="10">
        <v>2.0</v>
      </c>
      <c r="H463" s="14">
        <v>1.0</v>
      </c>
      <c r="I463" s="7">
        <f t="shared" si="1"/>
        <v>1</v>
      </c>
      <c r="J463" s="10" t="str">
        <f>IF(MAX(B463,E463)&gt;=Thresholds!$C$7,"Tier 3 - High",IF(MAX(B463,E463)&gt;=Thresholds!$C$6,"Tier 2 - Moderate","Tier 1 - Low"))</f>
        <v>Tier 1 - Low</v>
      </c>
      <c r="K463" s="7" t="str">
        <f t="shared" si="2"/>
        <v>Low Volume - Setup Needed</v>
      </c>
      <c r="L463" s="10" t="str">
        <f t="shared" si="3"/>
        <v>Low/no B2B traffic yet - set a Business Price (5-10% below retail) and Quantity Discount tiers (e.g. 5+ units 5% off, 10+ units 10% off) to attract first B2B interest; add bulk/case-pack info to title and bullets</v>
      </c>
    </row>
    <row r="464" ht="14.25" customHeight="1">
      <c r="A464" s="10" t="s">
        <v>499</v>
      </c>
      <c r="B464" s="10">
        <v>0.0</v>
      </c>
      <c r="C464" s="10">
        <v>0.0</v>
      </c>
      <c r="D464" s="10">
        <v>0.0</v>
      </c>
      <c r="E464" s="10">
        <v>1.0</v>
      </c>
      <c r="F464" s="10">
        <v>1.0</v>
      </c>
      <c r="G464" s="10">
        <v>0.0</v>
      </c>
      <c r="H464" s="14">
        <v>1.0</v>
      </c>
      <c r="I464" s="7">
        <f t="shared" si="1"/>
        <v>1</v>
      </c>
      <c r="J464" s="10" t="str">
        <f>IF(MAX(B464,E464)&gt;=Thresholds!$C$7,"Tier 3 - High",IF(MAX(B464,E464)&gt;=Thresholds!$C$6,"Tier 2 - Moderate","Tier 1 - Low"))</f>
        <v>Tier 1 - Low</v>
      </c>
      <c r="K464" s="7" t="str">
        <f t="shared" si="2"/>
        <v>Low Volume - Setup Needed</v>
      </c>
      <c r="L464" s="10" t="str">
        <f t="shared" si="3"/>
        <v>Low/no B2B traffic yet - set a Business Price (5-10% below retail) and Quantity Discount tiers (e.g. 5+ units 5% off, 10+ units 10% off) to attract first B2B interest; add bulk/case-pack info to title and bullets</v>
      </c>
    </row>
    <row r="465" ht="14.25" customHeight="1">
      <c r="A465" s="10" t="s">
        <v>500</v>
      </c>
      <c r="B465" s="10">
        <v>0.0</v>
      </c>
      <c r="C465" s="10">
        <v>0.0</v>
      </c>
      <c r="D465" s="10">
        <v>0.0</v>
      </c>
      <c r="E465" s="10">
        <v>1.0</v>
      </c>
      <c r="F465" s="10">
        <v>1.0</v>
      </c>
      <c r="G465" s="10">
        <v>0.0</v>
      </c>
      <c r="H465" s="14">
        <v>0.96</v>
      </c>
      <c r="I465" s="7">
        <f t="shared" si="1"/>
        <v>1</v>
      </c>
      <c r="J465" s="10" t="str">
        <f>IF(MAX(B465,E465)&gt;=Thresholds!$C$7,"Tier 3 - High",IF(MAX(B465,E465)&gt;=Thresholds!$C$6,"Tier 2 - Moderate","Tier 1 - Low"))</f>
        <v>Tier 1 - Low</v>
      </c>
      <c r="K465" s="7" t="str">
        <f t="shared" si="2"/>
        <v>Low Volume - Setup Needed</v>
      </c>
      <c r="L465" s="10" t="str">
        <f t="shared" si="3"/>
        <v>Low/no B2B traffic yet - set a Business Price (5-10% below retail) and Quantity Discount tiers (e.g. 5+ units 5% off, 10+ units 10% off) to attract first B2B interest; add bulk/case-pack info to title and bullets</v>
      </c>
    </row>
    <row r="466" ht="14.25" customHeight="1">
      <c r="A466" s="10" t="s">
        <v>501</v>
      </c>
      <c r="B466" s="10">
        <v>0.0</v>
      </c>
      <c r="C466" s="10">
        <v>0.0</v>
      </c>
      <c r="D466" s="10">
        <v>0.0</v>
      </c>
      <c r="E466" s="10">
        <v>1.0</v>
      </c>
      <c r="F466" s="10">
        <v>1.0</v>
      </c>
      <c r="G466" s="10">
        <v>0.0</v>
      </c>
      <c r="H466" s="14">
        <v>1.0</v>
      </c>
      <c r="I466" s="7">
        <f t="shared" si="1"/>
        <v>1</v>
      </c>
      <c r="J466" s="10" t="str">
        <f>IF(MAX(B466,E466)&gt;=Thresholds!$C$7,"Tier 3 - High",IF(MAX(B466,E466)&gt;=Thresholds!$C$6,"Tier 2 - Moderate","Tier 1 - Low"))</f>
        <v>Tier 1 - Low</v>
      </c>
      <c r="K466" s="7" t="str">
        <f t="shared" si="2"/>
        <v>Low Volume - Setup Needed</v>
      </c>
      <c r="L466" s="10" t="str">
        <f t="shared" si="3"/>
        <v>Low/no B2B traffic yet - set a Business Price (5-10% below retail) and Quantity Discount tiers (e.g. 5+ units 5% off, 10+ units 10% off) to attract first B2B interest; add bulk/case-pack info to title and bullets</v>
      </c>
    </row>
    <row r="467" ht="14.25" customHeight="1">
      <c r="A467" s="10" t="s">
        <v>502</v>
      </c>
      <c r="B467" s="10">
        <v>0.0</v>
      </c>
      <c r="C467" s="10">
        <v>0.0</v>
      </c>
      <c r="D467" s="10">
        <v>0.0</v>
      </c>
      <c r="E467" s="10">
        <v>1.0</v>
      </c>
      <c r="F467" s="10">
        <v>1.0</v>
      </c>
      <c r="G467" s="10">
        <v>0.0</v>
      </c>
      <c r="H467" s="14">
        <v>0.6667</v>
      </c>
      <c r="I467" s="7">
        <f t="shared" si="1"/>
        <v>1</v>
      </c>
      <c r="J467" s="10" t="str">
        <f>IF(MAX(B467,E467)&gt;=Thresholds!$C$7,"Tier 3 - High",IF(MAX(B467,E467)&gt;=Thresholds!$C$6,"Tier 2 - Moderate","Tier 1 - Low"))</f>
        <v>Tier 1 - Low</v>
      </c>
      <c r="K467" s="7" t="str">
        <f t="shared" si="2"/>
        <v>Low Volume - Setup Needed</v>
      </c>
      <c r="L467" s="10" t="str">
        <f t="shared" si="3"/>
        <v>Low/no B2B traffic yet - set a Business Price (5-10% below retail) and Quantity Discount tiers (e.g. 5+ units 5% off, 10+ units 10% off) to attract first B2B interest; add bulk/case-pack info to title and bullets</v>
      </c>
    </row>
    <row r="468" ht="14.25" customHeight="1">
      <c r="A468" s="10" t="s">
        <v>503</v>
      </c>
      <c r="B468" s="10">
        <v>0.0</v>
      </c>
      <c r="C468" s="10">
        <v>0.0</v>
      </c>
      <c r="D468" s="10">
        <v>0.0</v>
      </c>
      <c r="E468" s="10">
        <v>1.0</v>
      </c>
      <c r="F468" s="10">
        <v>1.0</v>
      </c>
      <c r="G468" s="10">
        <v>0.0</v>
      </c>
      <c r="H468" s="14">
        <v>1.0</v>
      </c>
      <c r="I468" s="7">
        <f t="shared" si="1"/>
        <v>1</v>
      </c>
      <c r="J468" s="10" t="str">
        <f>IF(MAX(B468,E468)&gt;=Thresholds!$C$7,"Tier 3 - High",IF(MAX(B468,E468)&gt;=Thresholds!$C$6,"Tier 2 - Moderate","Tier 1 - Low"))</f>
        <v>Tier 1 - Low</v>
      </c>
      <c r="K468" s="7" t="str">
        <f t="shared" si="2"/>
        <v>Low Volume - Setup Needed</v>
      </c>
      <c r="L468" s="10" t="str">
        <f t="shared" si="3"/>
        <v>Low/no B2B traffic yet - set a Business Price (5-10% below retail) and Quantity Discount tiers (e.g. 5+ units 5% off, 10+ units 10% off) to attract first B2B interest; add bulk/case-pack info to title and bullets</v>
      </c>
    </row>
    <row r="469" ht="14.25" customHeight="1">
      <c r="A469" s="10" t="s">
        <v>504</v>
      </c>
      <c r="B469" s="10">
        <v>0.0</v>
      </c>
      <c r="C469" s="10">
        <v>0.0</v>
      </c>
      <c r="D469" s="10">
        <v>0.0</v>
      </c>
      <c r="E469" s="10">
        <v>1.0</v>
      </c>
      <c r="F469" s="10">
        <v>1.0</v>
      </c>
      <c r="G469" s="10">
        <v>0.0</v>
      </c>
      <c r="H469" s="14">
        <v>1.0</v>
      </c>
      <c r="I469" s="7">
        <f t="shared" si="1"/>
        <v>1</v>
      </c>
      <c r="J469" s="10" t="str">
        <f>IF(MAX(B469,E469)&gt;=Thresholds!$C$7,"Tier 3 - High",IF(MAX(B469,E469)&gt;=Thresholds!$C$6,"Tier 2 - Moderate","Tier 1 - Low"))</f>
        <v>Tier 1 - Low</v>
      </c>
      <c r="K469" s="7" t="str">
        <f t="shared" si="2"/>
        <v>Low Volume - Setup Needed</v>
      </c>
      <c r="L469" s="10" t="str">
        <f t="shared" si="3"/>
        <v>Low/no B2B traffic yet - set a Business Price (5-10% below retail) and Quantity Discount tiers (e.g. 5+ units 5% off, 10+ units 10% off) to attract first B2B interest; add bulk/case-pack info to title and bullets</v>
      </c>
    </row>
    <row r="470" ht="14.25" customHeight="1">
      <c r="A470" s="10" t="s">
        <v>505</v>
      </c>
      <c r="B470" s="10">
        <v>1.0</v>
      </c>
      <c r="C470" s="10">
        <v>1.0</v>
      </c>
      <c r="D470" s="10">
        <v>0.0</v>
      </c>
      <c r="E470" s="10">
        <v>2.0</v>
      </c>
      <c r="F470" s="10">
        <v>3.0</v>
      </c>
      <c r="G470" s="10">
        <v>0.0</v>
      </c>
      <c r="H470" s="14">
        <v>1.0</v>
      </c>
      <c r="I470" s="7">
        <f t="shared" si="1"/>
        <v>1</v>
      </c>
      <c r="J470" s="10" t="str">
        <f>IF(MAX(B470,E470)&gt;=Thresholds!$C$7,"Tier 3 - High",IF(MAX(B470,E470)&gt;=Thresholds!$C$6,"Tier 2 - Moderate","Tier 1 - Low"))</f>
        <v>Tier 1 - Low</v>
      </c>
      <c r="K470" s="7" t="str">
        <f t="shared" si="2"/>
        <v>Low Volume - Setup Needed</v>
      </c>
      <c r="L470" s="10" t="str">
        <f t="shared" si="3"/>
        <v>Low/no B2B traffic yet - set a Business Price (5-10% below retail) and Quantity Discount tiers (e.g. 5+ units 5% off, 10+ units 10% off) to attract first B2B interest; add bulk/case-pack info to title and bullets</v>
      </c>
    </row>
    <row r="471" ht="14.25" customHeight="1">
      <c r="A471" s="10" t="s">
        <v>506</v>
      </c>
      <c r="B471" s="10">
        <v>0.0</v>
      </c>
      <c r="C471" s="10">
        <v>0.0</v>
      </c>
      <c r="D471" s="10">
        <v>0.0</v>
      </c>
      <c r="E471" s="10">
        <v>1.0</v>
      </c>
      <c r="F471" s="10">
        <v>2.0</v>
      </c>
      <c r="G471" s="10">
        <v>5.0</v>
      </c>
      <c r="H471" s="14">
        <v>1.0</v>
      </c>
      <c r="I471" s="7">
        <f t="shared" si="1"/>
        <v>1</v>
      </c>
      <c r="J471" s="10" t="str">
        <f>IF(MAX(B471,E471)&gt;=Thresholds!$C$7,"Tier 3 - High",IF(MAX(B471,E471)&gt;=Thresholds!$C$6,"Tier 2 - Moderate","Tier 1 - Low"))</f>
        <v>Tier 1 - Low</v>
      </c>
      <c r="K471" s="7" t="str">
        <f t="shared" si="2"/>
        <v>Low Volume - Setup Needed</v>
      </c>
      <c r="L471" s="10" t="str">
        <f t="shared" si="3"/>
        <v>Low/no B2B traffic yet - set a Business Price (5-10% below retail) and Quantity Discount tiers (e.g. 5+ units 5% off, 10+ units 10% off) to attract first B2B interest; add bulk/case-pack info to title and bullets</v>
      </c>
    </row>
    <row r="472" ht="14.25" customHeight="1">
      <c r="A472" s="10" t="s">
        <v>507</v>
      </c>
      <c r="B472" s="10">
        <v>0.0</v>
      </c>
      <c r="C472" s="10">
        <v>0.0</v>
      </c>
      <c r="D472" s="10">
        <v>0.0</v>
      </c>
      <c r="E472" s="10">
        <v>1.0</v>
      </c>
      <c r="F472" s="10">
        <v>1.0</v>
      </c>
      <c r="G472" s="10">
        <v>0.0</v>
      </c>
      <c r="H472" s="14">
        <v>0.6</v>
      </c>
      <c r="I472" s="7">
        <f t="shared" si="1"/>
        <v>1</v>
      </c>
      <c r="J472" s="10" t="str">
        <f>IF(MAX(B472,E472)&gt;=Thresholds!$C$7,"Tier 3 - High",IF(MAX(B472,E472)&gt;=Thresholds!$C$6,"Tier 2 - Moderate","Tier 1 - Low"))</f>
        <v>Tier 1 - Low</v>
      </c>
      <c r="K472" s="7" t="str">
        <f t="shared" si="2"/>
        <v>Low Volume - Setup Needed</v>
      </c>
      <c r="L472" s="10" t="str">
        <f t="shared" si="3"/>
        <v>Low/no B2B traffic yet - set a Business Price (5-10% below retail) and Quantity Discount tiers (e.g. 5+ units 5% off, 10+ units 10% off) to attract first B2B interest; add bulk/case-pack info to title and bullets</v>
      </c>
    </row>
    <row r="473" ht="14.25" customHeight="1">
      <c r="A473" s="10" t="s">
        <v>508</v>
      </c>
      <c r="B473" s="10">
        <v>0.0</v>
      </c>
      <c r="C473" s="10">
        <v>0.0</v>
      </c>
      <c r="D473" s="10">
        <v>0.0</v>
      </c>
      <c r="E473" s="10">
        <v>1.0</v>
      </c>
      <c r="F473" s="10">
        <v>1.0</v>
      </c>
      <c r="G473" s="10">
        <v>0.0</v>
      </c>
      <c r="H473" s="14">
        <v>1.0</v>
      </c>
      <c r="I473" s="7">
        <f t="shared" si="1"/>
        <v>1</v>
      </c>
      <c r="J473" s="10" t="str">
        <f>IF(MAX(B473,E473)&gt;=Thresholds!$C$7,"Tier 3 - High",IF(MAX(B473,E473)&gt;=Thresholds!$C$6,"Tier 2 - Moderate","Tier 1 - Low"))</f>
        <v>Tier 1 - Low</v>
      </c>
      <c r="K473" s="7" t="str">
        <f t="shared" si="2"/>
        <v>Low Volume - Setup Needed</v>
      </c>
      <c r="L473" s="10" t="str">
        <f t="shared" si="3"/>
        <v>Low/no B2B traffic yet - set a Business Price (5-10% below retail) and Quantity Discount tiers (e.g. 5+ units 5% off, 10+ units 10% off) to attract first B2B interest; add bulk/case-pack info to title and bullets</v>
      </c>
    </row>
    <row r="474" ht="14.25" customHeight="1">
      <c r="A474" s="10" t="s">
        <v>509</v>
      </c>
      <c r="B474" s="10">
        <v>0.0</v>
      </c>
      <c r="C474" s="10">
        <v>0.0</v>
      </c>
      <c r="D474" s="10">
        <v>0.0</v>
      </c>
      <c r="E474" s="10">
        <v>1.0</v>
      </c>
      <c r="F474" s="10">
        <v>1.0</v>
      </c>
      <c r="G474" s="10">
        <v>0.0</v>
      </c>
      <c r="H474" s="14">
        <v>0.8571</v>
      </c>
      <c r="I474" s="7">
        <f t="shared" si="1"/>
        <v>1</v>
      </c>
      <c r="J474" s="10" t="str">
        <f>IF(MAX(B474,E474)&gt;=Thresholds!$C$7,"Tier 3 - High",IF(MAX(B474,E474)&gt;=Thresholds!$C$6,"Tier 2 - Moderate","Tier 1 - Low"))</f>
        <v>Tier 1 - Low</v>
      </c>
      <c r="K474" s="7" t="str">
        <f t="shared" si="2"/>
        <v>Low Volume - Setup Needed</v>
      </c>
      <c r="L474" s="10" t="str">
        <f t="shared" si="3"/>
        <v>Low/no B2B traffic yet - set a Business Price (5-10% below retail) and Quantity Discount tiers (e.g. 5+ units 5% off, 10+ units 10% off) to attract first B2B interest; add bulk/case-pack info to title and bullets</v>
      </c>
    </row>
    <row r="475" ht="14.25" customHeight="1">
      <c r="A475" s="10" t="s">
        <v>510</v>
      </c>
      <c r="B475" s="10">
        <v>0.0</v>
      </c>
      <c r="C475" s="10">
        <v>0.0</v>
      </c>
      <c r="D475" s="10">
        <v>0.0</v>
      </c>
      <c r="E475" s="10">
        <v>1.0</v>
      </c>
      <c r="F475" s="10">
        <v>2.0</v>
      </c>
      <c r="G475" s="10">
        <v>0.0</v>
      </c>
      <c r="H475" s="14">
        <v>0.75</v>
      </c>
      <c r="I475" s="7">
        <f t="shared" si="1"/>
        <v>1</v>
      </c>
      <c r="J475" s="10" t="str">
        <f>IF(MAX(B475,E475)&gt;=Thresholds!$C$7,"Tier 3 - High",IF(MAX(B475,E475)&gt;=Thresholds!$C$6,"Tier 2 - Moderate","Tier 1 - Low"))</f>
        <v>Tier 1 - Low</v>
      </c>
      <c r="K475" s="7" t="str">
        <f t="shared" si="2"/>
        <v>Low Volume - Setup Needed</v>
      </c>
      <c r="L475" s="10" t="str">
        <f t="shared" si="3"/>
        <v>Low/no B2B traffic yet - set a Business Price (5-10% below retail) and Quantity Discount tiers (e.g. 5+ units 5% off, 10+ units 10% off) to attract first B2B interest; add bulk/case-pack info to title and bullets</v>
      </c>
    </row>
    <row r="476" ht="14.25" customHeight="1">
      <c r="A476" s="10" t="s">
        <v>511</v>
      </c>
      <c r="B476" s="10">
        <v>2.0</v>
      </c>
      <c r="C476" s="10">
        <v>3.0</v>
      </c>
      <c r="D476" s="10">
        <v>0.0</v>
      </c>
      <c r="E476" s="10">
        <v>3.0</v>
      </c>
      <c r="F476" s="10">
        <v>7.0</v>
      </c>
      <c r="G476" s="10">
        <v>2.0</v>
      </c>
      <c r="H476" s="14">
        <v>1.0</v>
      </c>
      <c r="I476" s="7">
        <f t="shared" si="1"/>
        <v>1</v>
      </c>
      <c r="J476" s="10" t="str">
        <f>IF(MAX(B476,E476)&gt;=Thresholds!$C$7,"Tier 3 - High",IF(MAX(B476,E476)&gt;=Thresholds!$C$6,"Tier 2 - Moderate","Tier 1 - Low"))</f>
        <v>Tier 1 - Low</v>
      </c>
      <c r="K476" s="7" t="str">
        <f t="shared" si="2"/>
        <v>Low Volume - Setup Needed</v>
      </c>
      <c r="L476" s="10" t="str">
        <f t="shared" si="3"/>
        <v>Low/no B2B traffic yet - set a Business Price (5-10% below retail) and Quantity Discount tiers (e.g. 5+ units 5% off, 10+ units 10% off) to attract first B2B interest; add bulk/case-pack info to title and bullets</v>
      </c>
    </row>
    <row r="477" ht="14.25" customHeight="1">
      <c r="A477" s="10" t="s">
        <v>512</v>
      </c>
      <c r="B477" s="10">
        <v>1.0</v>
      </c>
      <c r="C477" s="10">
        <v>1.0</v>
      </c>
      <c r="D477" s="10">
        <v>0.0</v>
      </c>
      <c r="E477" s="10">
        <v>2.0</v>
      </c>
      <c r="F477" s="10">
        <v>2.0</v>
      </c>
      <c r="G477" s="10">
        <v>0.0</v>
      </c>
      <c r="H477" s="14">
        <v>0.9859</v>
      </c>
      <c r="I477" s="7">
        <f t="shared" si="1"/>
        <v>1</v>
      </c>
      <c r="J477" s="10" t="str">
        <f>IF(MAX(B477,E477)&gt;=Thresholds!$C$7,"Tier 3 - High",IF(MAX(B477,E477)&gt;=Thresholds!$C$6,"Tier 2 - Moderate","Tier 1 - Low"))</f>
        <v>Tier 1 - Low</v>
      </c>
      <c r="K477" s="7" t="str">
        <f t="shared" si="2"/>
        <v>Low Volume - Setup Needed</v>
      </c>
      <c r="L477" s="10" t="str">
        <f t="shared" si="3"/>
        <v>Low/no B2B traffic yet - set a Business Price (5-10% below retail) and Quantity Discount tiers (e.g. 5+ units 5% off, 10+ units 10% off) to attract first B2B interest; add bulk/case-pack info to title and bullets</v>
      </c>
    </row>
    <row r="478" ht="14.25" customHeight="1">
      <c r="A478" s="10" t="s">
        <v>513</v>
      </c>
      <c r="B478" s="10">
        <v>0.0</v>
      </c>
      <c r="C478" s="10">
        <v>0.0</v>
      </c>
      <c r="D478" s="10">
        <v>0.0</v>
      </c>
      <c r="E478" s="10">
        <v>1.0</v>
      </c>
      <c r="F478" s="10">
        <v>1.0</v>
      </c>
      <c r="G478" s="10">
        <v>0.0</v>
      </c>
      <c r="H478" s="14">
        <v>0.8889</v>
      </c>
      <c r="I478" s="7">
        <f t="shared" si="1"/>
        <v>1</v>
      </c>
      <c r="J478" s="10" t="str">
        <f>IF(MAX(B478,E478)&gt;=Thresholds!$C$7,"Tier 3 - High",IF(MAX(B478,E478)&gt;=Thresholds!$C$6,"Tier 2 - Moderate","Tier 1 - Low"))</f>
        <v>Tier 1 - Low</v>
      </c>
      <c r="K478" s="7" t="str">
        <f t="shared" si="2"/>
        <v>Low Volume - Setup Needed</v>
      </c>
      <c r="L478" s="10" t="str">
        <f t="shared" si="3"/>
        <v>Low/no B2B traffic yet - set a Business Price (5-10% below retail) and Quantity Discount tiers (e.g. 5+ units 5% off, 10+ units 10% off) to attract first B2B interest; add bulk/case-pack info to title and bullets</v>
      </c>
    </row>
    <row r="479" ht="14.25" customHeight="1">
      <c r="A479" s="10" t="s">
        <v>514</v>
      </c>
      <c r="B479" s="10">
        <v>0.0</v>
      </c>
      <c r="C479" s="10">
        <v>0.0</v>
      </c>
      <c r="D479" s="10">
        <v>0.0</v>
      </c>
      <c r="E479" s="10">
        <v>1.0</v>
      </c>
      <c r="F479" s="10">
        <v>1.0</v>
      </c>
      <c r="G479" s="10">
        <v>0.0</v>
      </c>
      <c r="H479" s="14">
        <v>1.0</v>
      </c>
      <c r="I479" s="7">
        <f t="shared" si="1"/>
        <v>1</v>
      </c>
      <c r="J479" s="10" t="str">
        <f>IF(MAX(B479,E479)&gt;=Thresholds!$C$7,"Tier 3 - High",IF(MAX(B479,E479)&gt;=Thresholds!$C$6,"Tier 2 - Moderate","Tier 1 - Low"))</f>
        <v>Tier 1 - Low</v>
      </c>
      <c r="K479" s="7" t="str">
        <f t="shared" si="2"/>
        <v>Low Volume - Setup Needed</v>
      </c>
      <c r="L479" s="10" t="str">
        <f t="shared" si="3"/>
        <v>Low/no B2B traffic yet - set a Business Price (5-10% below retail) and Quantity Discount tiers (e.g. 5+ units 5% off, 10+ units 10% off) to attract first B2B interest; add bulk/case-pack info to title and bullets</v>
      </c>
    </row>
    <row r="480" ht="14.25" customHeight="1">
      <c r="A480" s="10" t="s">
        <v>515</v>
      </c>
      <c r="B480" s="10">
        <v>0.0</v>
      </c>
      <c r="C480" s="10">
        <v>0.0</v>
      </c>
      <c r="D480" s="10">
        <v>0.0</v>
      </c>
      <c r="E480" s="10">
        <v>1.0</v>
      </c>
      <c r="F480" s="10">
        <v>1.0</v>
      </c>
      <c r="G480" s="10">
        <v>0.0</v>
      </c>
      <c r="H480" s="14">
        <v>1.0</v>
      </c>
      <c r="I480" s="7">
        <f t="shared" si="1"/>
        <v>1</v>
      </c>
      <c r="J480" s="10" t="str">
        <f>IF(MAX(B480,E480)&gt;=Thresholds!$C$7,"Tier 3 - High",IF(MAX(B480,E480)&gt;=Thresholds!$C$6,"Tier 2 - Moderate","Tier 1 - Low"))</f>
        <v>Tier 1 - Low</v>
      </c>
      <c r="K480" s="7" t="str">
        <f t="shared" si="2"/>
        <v>Low Volume - Setup Needed</v>
      </c>
      <c r="L480" s="10" t="str">
        <f t="shared" si="3"/>
        <v>Low/no B2B traffic yet - set a Business Price (5-10% below retail) and Quantity Discount tiers (e.g. 5+ units 5% off, 10+ units 10% off) to attract first B2B interest; add bulk/case-pack info to title and bullets</v>
      </c>
    </row>
    <row r="481" ht="14.25" customHeight="1">
      <c r="A481" s="10" t="s">
        <v>516</v>
      </c>
      <c r="B481" s="10">
        <v>1.0</v>
      </c>
      <c r="C481" s="10">
        <v>1.0</v>
      </c>
      <c r="D481" s="10">
        <v>0.0</v>
      </c>
      <c r="E481" s="10">
        <v>2.0</v>
      </c>
      <c r="F481" s="10">
        <v>2.0</v>
      </c>
      <c r="G481" s="10">
        <v>0.0</v>
      </c>
      <c r="H481" s="14">
        <v>0.9917</v>
      </c>
      <c r="I481" s="7">
        <f t="shared" si="1"/>
        <v>1</v>
      </c>
      <c r="J481" s="10" t="str">
        <f>IF(MAX(B481,E481)&gt;=Thresholds!$C$7,"Tier 3 - High",IF(MAX(B481,E481)&gt;=Thresholds!$C$6,"Tier 2 - Moderate","Tier 1 - Low"))</f>
        <v>Tier 1 - Low</v>
      </c>
      <c r="K481" s="7" t="str">
        <f t="shared" si="2"/>
        <v>Low Volume - Setup Needed</v>
      </c>
      <c r="L481" s="10" t="str">
        <f t="shared" si="3"/>
        <v>Low/no B2B traffic yet - set a Business Price (5-10% below retail) and Quantity Discount tiers (e.g. 5+ units 5% off, 10+ units 10% off) to attract first B2B interest; add bulk/case-pack info to title and bullets</v>
      </c>
    </row>
    <row r="482" ht="14.25" customHeight="1">
      <c r="A482" s="10" t="s">
        <v>517</v>
      </c>
      <c r="B482" s="10">
        <v>0.0</v>
      </c>
      <c r="C482" s="10">
        <v>0.0</v>
      </c>
      <c r="D482" s="10">
        <v>0.0</v>
      </c>
      <c r="E482" s="10">
        <v>1.0</v>
      </c>
      <c r="F482" s="10">
        <v>1.0</v>
      </c>
      <c r="G482" s="10">
        <v>0.0</v>
      </c>
      <c r="H482" s="14">
        <v>0.9444</v>
      </c>
      <c r="I482" s="7">
        <f t="shared" si="1"/>
        <v>1</v>
      </c>
      <c r="J482" s="10" t="str">
        <f>IF(MAX(B482,E482)&gt;=Thresholds!$C$7,"Tier 3 - High",IF(MAX(B482,E482)&gt;=Thresholds!$C$6,"Tier 2 - Moderate","Tier 1 - Low"))</f>
        <v>Tier 1 - Low</v>
      </c>
      <c r="K482" s="7" t="str">
        <f t="shared" si="2"/>
        <v>Low Volume - Setup Needed</v>
      </c>
      <c r="L482" s="10" t="str">
        <f t="shared" si="3"/>
        <v>Low/no B2B traffic yet - set a Business Price (5-10% below retail) and Quantity Discount tiers (e.g. 5+ units 5% off, 10+ units 10% off) to attract first B2B interest; add bulk/case-pack info to title and bullets</v>
      </c>
    </row>
    <row r="483" ht="14.25" customHeight="1">
      <c r="A483" s="10" t="s">
        <v>518</v>
      </c>
      <c r="B483" s="10">
        <v>0.0</v>
      </c>
      <c r="C483" s="10">
        <v>0.0</v>
      </c>
      <c r="D483" s="10">
        <v>0.0</v>
      </c>
      <c r="E483" s="10">
        <v>1.0</v>
      </c>
      <c r="F483" s="10">
        <v>1.0</v>
      </c>
      <c r="G483" s="10">
        <v>0.0</v>
      </c>
      <c r="H483" s="14">
        <v>0.963</v>
      </c>
      <c r="I483" s="7">
        <f t="shared" si="1"/>
        <v>1</v>
      </c>
      <c r="J483" s="10" t="str">
        <f>IF(MAX(B483,E483)&gt;=Thresholds!$C$7,"Tier 3 - High",IF(MAX(B483,E483)&gt;=Thresholds!$C$6,"Tier 2 - Moderate","Tier 1 - Low"))</f>
        <v>Tier 1 - Low</v>
      </c>
      <c r="K483" s="7" t="str">
        <f t="shared" si="2"/>
        <v>Low Volume - Setup Needed</v>
      </c>
      <c r="L483" s="10" t="str">
        <f t="shared" si="3"/>
        <v>Low/no B2B traffic yet - set a Business Price (5-10% below retail) and Quantity Discount tiers (e.g. 5+ units 5% off, 10+ units 10% off) to attract first B2B interest; add bulk/case-pack info to title and bullets</v>
      </c>
    </row>
    <row r="484" ht="14.25" customHeight="1">
      <c r="A484" s="10" t="s">
        <v>519</v>
      </c>
      <c r="B484" s="10">
        <v>0.0</v>
      </c>
      <c r="C484" s="10">
        <v>0.0</v>
      </c>
      <c r="D484" s="10">
        <v>0.0</v>
      </c>
      <c r="E484" s="10">
        <v>1.0</v>
      </c>
      <c r="F484" s="10">
        <v>2.0</v>
      </c>
      <c r="G484" s="10">
        <v>0.0</v>
      </c>
      <c r="H484" s="14">
        <v>0.913</v>
      </c>
      <c r="I484" s="7">
        <f t="shared" si="1"/>
        <v>1</v>
      </c>
      <c r="J484" s="10" t="str">
        <f>IF(MAX(B484,E484)&gt;=Thresholds!$C$7,"Tier 3 - High",IF(MAX(B484,E484)&gt;=Thresholds!$C$6,"Tier 2 - Moderate","Tier 1 - Low"))</f>
        <v>Tier 1 - Low</v>
      </c>
      <c r="K484" s="7" t="str">
        <f t="shared" si="2"/>
        <v>Low Volume - Setup Needed</v>
      </c>
      <c r="L484" s="10" t="str">
        <f t="shared" si="3"/>
        <v>Low/no B2B traffic yet - set a Business Price (5-10% below retail) and Quantity Discount tiers (e.g. 5+ units 5% off, 10+ units 10% off) to attract first B2B interest; add bulk/case-pack info to title and bullets</v>
      </c>
    </row>
    <row r="485" ht="14.25" customHeight="1">
      <c r="A485" s="10" t="s">
        <v>520</v>
      </c>
      <c r="B485" s="10">
        <v>0.0</v>
      </c>
      <c r="C485" s="10">
        <v>0.0</v>
      </c>
      <c r="D485" s="10">
        <v>0.0</v>
      </c>
      <c r="E485" s="10">
        <v>1.0</v>
      </c>
      <c r="F485" s="10">
        <v>1.0</v>
      </c>
      <c r="G485" s="10">
        <v>0.0</v>
      </c>
      <c r="H485" s="14">
        <v>1.0</v>
      </c>
      <c r="I485" s="7">
        <f t="shared" si="1"/>
        <v>1</v>
      </c>
      <c r="J485" s="10" t="str">
        <f>IF(MAX(B485,E485)&gt;=Thresholds!$C$7,"Tier 3 - High",IF(MAX(B485,E485)&gt;=Thresholds!$C$6,"Tier 2 - Moderate","Tier 1 - Low"))</f>
        <v>Tier 1 - Low</v>
      </c>
      <c r="K485" s="7" t="str">
        <f t="shared" si="2"/>
        <v>Low Volume - Setup Needed</v>
      </c>
      <c r="L485" s="10" t="str">
        <f t="shared" si="3"/>
        <v>Low/no B2B traffic yet - set a Business Price (5-10% below retail) and Quantity Discount tiers (e.g. 5+ units 5% off, 10+ units 10% off) to attract first B2B interest; add bulk/case-pack info to title and bullets</v>
      </c>
    </row>
    <row r="486" ht="14.25" customHeight="1">
      <c r="A486" s="10" t="s">
        <v>521</v>
      </c>
      <c r="B486" s="10">
        <v>0.0</v>
      </c>
      <c r="C486" s="10">
        <v>0.0</v>
      </c>
      <c r="D486" s="10">
        <v>0.0</v>
      </c>
      <c r="E486" s="10">
        <v>1.0</v>
      </c>
      <c r="F486" s="10">
        <v>2.0</v>
      </c>
      <c r="G486" s="10">
        <v>0.0</v>
      </c>
      <c r="H486" s="14">
        <v>1.0</v>
      </c>
      <c r="I486" s="7">
        <f t="shared" si="1"/>
        <v>1</v>
      </c>
      <c r="J486" s="10" t="str">
        <f>IF(MAX(B486,E486)&gt;=Thresholds!$C$7,"Tier 3 - High",IF(MAX(B486,E486)&gt;=Thresholds!$C$6,"Tier 2 - Moderate","Tier 1 - Low"))</f>
        <v>Tier 1 - Low</v>
      </c>
      <c r="K486" s="7" t="str">
        <f t="shared" si="2"/>
        <v>Low Volume - Setup Needed</v>
      </c>
      <c r="L486" s="10" t="str">
        <f t="shared" si="3"/>
        <v>Low/no B2B traffic yet - set a Business Price (5-10% below retail) and Quantity Discount tiers (e.g. 5+ units 5% off, 10+ units 10% off) to attract first B2B interest; add bulk/case-pack info to title and bullets</v>
      </c>
    </row>
    <row r="487" ht="14.25" customHeight="1">
      <c r="A487" s="10" t="s">
        <v>522</v>
      </c>
      <c r="B487" s="10">
        <v>0.0</v>
      </c>
      <c r="C487" s="10">
        <v>0.0</v>
      </c>
      <c r="D487" s="10">
        <v>0.0</v>
      </c>
      <c r="E487" s="10">
        <v>1.0</v>
      </c>
      <c r="F487" s="10">
        <v>1.0</v>
      </c>
      <c r="G487" s="10">
        <v>0.0</v>
      </c>
      <c r="H487" s="14">
        <v>0.0</v>
      </c>
      <c r="I487" s="7">
        <f t="shared" si="1"/>
        <v>1</v>
      </c>
      <c r="J487" s="10" t="str">
        <f>IF(MAX(B487,E487)&gt;=Thresholds!$C$7,"Tier 3 - High",IF(MAX(B487,E487)&gt;=Thresholds!$C$6,"Tier 2 - Moderate","Tier 1 - Low"))</f>
        <v>Tier 1 - Low</v>
      </c>
      <c r="K487" s="7" t="str">
        <f t="shared" si="2"/>
        <v>Low Volume - Setup Needed</v>
      </c>
      <c r="L487" s="10" t="str">
        <f t="shared" si="3"/>
        <v>Low/no B2B traffic yet - set a Business Price (5-10% below retail) and Quantity Discount tiers (e.g. 5+ units 5% off, 10+ units 10% off) to attract first B2B interest; add bulk/case-pack info to title and bullets</v>
      </c>
    </row>
    <row r="488" ht="14.25" customHeight="1">
      <c r="A488" s="10" t="s">
        <v>523</v>
      </c>
      <c r="B488" s="10">
        <v>0.0</v>
      </c>
      <c r="C488" s="10">
        <v>0.0</v>
      </c>
      <c r="D488" s="10">
        <v>0.0</v>
      </c>
      <c r="E488" s="10">
        <v>1.0</v>
      </c>
      <c r="F488" s="10">
        <v>1.0</v>
      </c>
      <c r="G488" s="10">
        <v>1.0</v>
      </c>
      <c r="H488" s="14">
        <v>1.0</v>
      </c>
      <c r="I488" s="7">
        <f t="shared" si="1"/>
        <v>1</v>
      </c>
      <c r="J488" s="10" t="str">
        <f>IF(MAX(B488,E488)&gt;=Thresholds!$C$7,"Tier 3 - High",IF(MAX(B488,E488)&gt;=Thresholds!$C$6,"Tier 2 - Moderate","Tier 1 - Low"))</f>
        <v>Tier 1 - Low</v>
      </c>
      <c r="K488" s="7" t="str">
        <f t="shared" si="2"/>
        <v>Low Volume - Setup Needed</v>
      </c>
      <c r="L488" s="10" t="str">
        <f t="shared" si="3"/>
        <v>Low/no B2B traffic yet - set a Business Price (5-10% below retail) and Quantity Discount tiers (e.g. 5+ units 5% off, 10+ units 10% off) to attract first B2B interest; add bulk/case-pack info to title and bullets</v>
      </c>
    </row>
    <row r="489" ht="14.25" customHeight="1">
      <c r="A489" s="10" t="s">
        <v>524</v>
      </c>
      <c r="B489" s="10">
        <v>0.0</v>
      </c>
      <c r="C489" s="10">
        <v>0.0</v>
      </c>
      <c r="D489" s="10">
        <v>0.0</v>
      </c>
      <c r="E489" s="10">
        <v>1.0</v>
      </c>
      <c r="F489" s="10">
        <v>1.0</v>
      </c>
      <c r="G489" s="10">
        <v>0.0</v>
      </c>
      <c r="H489" s="14">
        <v>1.0</v>
      </c>
      <c r="I489" s="7">
        <f t="shared" si="1"/>
        <v>1</v>
      </c>
      <c r="J489" s="10" t="str">
        <f>IF(MAX(B489,E489)&gt;=Thresholds!$C$7,"Tier 3 - High",IF(MAX(B489,E489)&gt;=Thresholds!$C$6,"Tier 2 - Moderate","Tier 1 - Low"))</f>
        <v>Tier 1 - Low</v>
      </c>
      <c r="K489" s="7" t="str">
        <f t="shared" si="2"/>
        <v>Low Volume - Setup Needed</v>
      </c>
      <c r="L489" s="10" t="str">
        <f t="shared" si="3"/>
        <v>Low/no B2B traffic yet - set a Business Price (5-10% below retail) and Quantity Discount tiers (e.g. 5+ units 5% off, 10+ units 10% off) to attract first B2B interest; add bulk/case-pack info to title and bullets</v>
      </c>
    </row>
    <row r="490" ht="14.25" customHeight="1">
      <c r="A490" s="10" t="s">
        <v>525</v>
      </c>
      <c r="B490" s="10">
        <v>0.0</v>
      </c>
      <c r="C490" s="10">
        <v>0.0</v>
      </c>
      <c r="D490" s="10">
        <v>0.0</v>
      </c>
      <c r="E490" s="10">
        <v>1.0</v>
      </c>
      <c r="F490" s="10">
        <v>1.0</v>
      </c>
      <c r="G490" s="10">
        <v>0.0</v>
      </c>
      <c r="H490" s="14">
        <v>1.0</v>
      </c>
      <c r="I490" s="7">
        <f t="shared" si="1"/>
        <v>1</v>
      </c>
      <c r="J490" s="10" t="str">
        <f>IF(MAX(B490,E490)&gt;=Thresholds!$C$7,"Tier 3 - High",IF(MAX(B490,E490)&gt;=Thresholds!$C$6,"Tier 2 - Moderate","Tier 1 - Low"))</f>
        <v>Tier 1 - Low</v>
      </c>
      <c r="K490" s="7" t="str">
        <f t="shared" si="2"/>
        <v>Low Volume - Setup Needed</v>
      </c>
      <c r="L490" s="10" t="str">
        <f t="shared" si="3"/>
        <v>Low/no B2B traffic yet - set a Business Price (5-10% below retail) and Quantity Discount tiers (e.g. 5+ units 5% off, 10+ units 10% off) to attract first B2B interest; add bulk/case-pack info to title and bullets</v>
      </c>
    </row>
    <row r="491" ht="14.25" customHeight="1">
      <c r="A491" s="10" t="s">
        <v>526</v>
      </c>
      <c r="B491" s="10">
        <v>0.0</v>
      </c>
      <c r="C491" s="10">
        <v>0.0</v>
      </c>
      <c r="D491" s="10">
        <v>0.0</v>
      </c>
      <c r="E491" s="10">
        <v>1.0</v>
      </c>
      <c r="F491" s="10">
        <v>1.0</v>
      </c>
      <c r="G491" s="10">
        <v>0.0</v>
      </c>
      <c r="H491" s="14">
        <v>1.0</v>
      </c>
      <c r="I491" s="7">
        <f t="shared" si="1"/>
        <v>1</v>
      </c>
      <c r="J491" s="10" t="str">
        <f>IF(MAX(B491,E491)&gt;=Thresholds!$C$7,"Tier 3 - High",IF(MAX(B491,E491)&gt;=Thresholds!$C$6,"Tier 2 - Moderate","Tier 1 - Low"))</f>
        <v>Tier 1 - Low</v>
      </c>
      <c r="K491" s="7" t="str">
        <f t="shared" si="2"/>
        <v>Low Volume - Setup Needed</v>
      </c>
      <c r="L491" s="10" t="str">
        <f t="shared" si="3"/>
        <v>Low/no B2B traffic yet - set a Business Price (5-10% below retail) and Quantity Discount tiers (e.g. 5+ units 5% off, 10+ units 10% off) to attract first B2B interest; add bulk/case-pack info to title and bullets</v>
      </c>
    </row>
    <row r="492" ht="14.25" customHeight="1">
      <c r="A492" s="10" t="s">
        <v>527</v>
      </c>
      <c r="B492" s="10">
        <v>0.0</v>
      </c>
      <c r="C492" s="10">
        <v>0.0</v>
      </c>
      <c r="D492" s="10">
        <v>0.0</v>
      </c>
      <c r="E492" s="10">
        <v>2.0</v>
      </c>
      <c r="F492" s="10">
        <v>2.0</v>
      </c>
      <c r="G492" s="10">
        <v>0.0</v>
      </c>
      <c r="H492" s="14">
        <v>0.75</v>
      </c>
      <c r="I492" s="7">
        <f t="shared" si="1"/>
        <v>2</v>
      </c>
      <c r="J492" s="10" t="str">
        <f>IF(MAX(B492,E492)&gt;=Thresholds!$C$7,"Tier 3 - High",IF(MAX(B492,E492)&gt;=Thresholds!$C$6,"Tier 2 - Moderate","Tier 1 - Low"))</f>
        <v>Tier 1 - Low</v>
      </c>
      <c r="K492" s="7" t="str">
        <f t="shared" si="2"/>
        <v>Low Volume - Setup Needed</v>
      </c>
      <c r="L492" s="10" t="str">
        <f t="shared" si="3"/>
        <v>Low/no B2B traffic yet - set a Business Price (5-10% below retail) and Quantity Discount tiers (e.g. 5+ units 5% off, 10+ units 10% off) to attract first B2B interest; add bulk/case-pack info to title and bullets</v>
      </c>
    </row>
    <row r="493" ht="14.25" customHeight="1">
      <c r="A493" s="10" t="s">
        <v>528</v>
      </c>
      <c r="B493" s="10">
        <v>0.0</v>
      </c>
      <c r="C493" s="10">
        <v>0.0</v>
      </c>
      <c r="D493" s="10">
        <v>0.0</v>
      </c>
      <c r="E493" s="10">
        <v>2.0</v>
      </c>
      <c r="F493" s="10">
        <v>2.0</v>
      </c>
      <c r="G493" s="10">
        <v>0.0</v>
      </c>
      <c r="H493" s="14">
        <v>0.9926</v>
      </c>
      <c r="I493" s="7">
        <f t="shared" si="1"/>
        <v>2</v>
      </c>
      <c r="J493" s="10" t="str">
        <f>IF(MAX(B493,E493)&gt;=Thresholds!$C$7,"Tier 3 - High",IF(MAX(B493,E493)&gt;=Thresholds!$C$6,"Tier 2 - Moderate","Tier 1 - Low"))</f>
        <v>Tier 1 - Low</v>
      </c>
      <c r="K493" s="7" t="str">
        <f t="shared" si="2"/>
        <v>Low Volume - Setup Needed</v>
      </c>
      <c r="L493" s="10" t="str">
        <f t="shared" si="3"/>
        <v>Low/no B2B traffic yet - set a Business Price (5-10% below retail) and Quantity Discount tiers (e.g. 5+ units 5% off, 10+ units 10% off) to attract first B2B interest; add bulk/case-pack info to title and bullets</v>
      </c>
    </row>
    <row r="494" ht="14.25" customHeight="1">
      <c r="A494" s="10" t="s">
        <v>529</v>
      </c>
      <c r="B494" s="10">
        <v>1.0</v>
      </c>
      <c r="C494" s="10">
        <v>1.0</v>
      </c>
      <c r="D494" s="10">
        <v>0.0</v>
      </c>
      <c r="E494" s="10">
        <v>3.0</v>
      </c>
      <c r="F494" s="10">
        <v>5.0</v>
      </c>
      <c r="G494" s="10">
        <v>0.0</v>
      </c>
      <c r="H494" s="14">
        <v>0.98</v>
      </c>
      <c r="I494" s="7">
        <f t="shared" si="1"/>
        <v>2</v>
      </c>
      <c r="J494" s="10" t="str">
        <f>IF(MAX(B494,E494)&gt;=Thresholds!$C$7,"Tier 3 - High",IF(MAX(B494,E494)&gt;=Thresholds!$C$6,"Tier 2 - Moderate","Tier 1 - Low"))</f>
        <v>Tier 1 - Low</v>
      </c>
      <c r="K494" s="7" t="str">
        <f t="shared" si="2"/>
        <v>Low Volume - Setup Needed</v>
      </c>
      <c r="L494" s="10" t="str">
        <f t="shared" si="3"/>
        <v>Low/no B2B traffic yet - set a Business Price (5-10% below retail) and Quantity Discount tiers (e.g. 5+ units 5% off, 10+ units 10% off) to attract first B2B interest; add bulk/case-pack info to title and bullets</v>
      </c>
    </row>
    <row r="495" ht="14.25" customHeight="1">
      <c r="A495" s="10" t="s">
        <v>530</v>
      </c>
      <c r="B495" s="10">
        <v>0.0</v>
      </c>
      <c r="C495" s="10">
        <v>0.0</v>
      </c>
      <c r="D495" s="10">
        <v>0.0</v>
      </c>
      <c r="E495" s="10">
        <v>2.0</v>
      </c>
      <c r="F495" s="10">
        <v>2.0</v>
      </c>
      <c r="G495" s="10">
        <v>0.0</v>
      </c>
      <c r="H495" s="14">
        <v>1.0</v>
      </c>
      <c r="I495" s="7">
        <f t="shared" si="1"/>
        <v>2</v>
      </c>
      <c r="J495" s="10" t="str">
        <f>IF(MAX(B495,E495)&gt;=Thresholds!$C$7,"Tier 3 - High",IF(MAX(B495,E495)&gt;=Thresholds!$C$6,"Tier 2 - Moderate","Tier 1 - Low"))</f>
        <v>Tier 1 - Low</v>
      </c>
      <c r="K495" s="7" t="str">
        <f t="shared" si="2"/>
        <v>Low Volume - Setup Needed</v>
      </c>
      <c r="L495" s="10" t="str">
        <f t="shared" si="3"/>
        <v>Low/no B2B traffic yet - set a Business Price (5-10% below retail) and Quantity Discount tiers (e.g. 5+ units 5% off, 10+ units 10% off) to attract first B2B interest; add bulk/case-pack info to title and bullets</v>
      </c>
    </row>
    <row r="496" ht="14.25" customHeight="1">
      <c r="A496" s="10" t="s">
        <v>531</v>
      </c>
      <c r="B496" s="10">
        <v>0.0</v>
      </c>
      <c r="C496" s="10">
        <v>0.0</v>
      </c>
      <c r="D496" s="10">
        <v>0.0</v>
      </c>
      <c r="E496" s="10">
        <v>2.0</v>
      </c>
      <c r="F496" s="10">
        <v>2.0</v>
      </c>
      <c r="G496" s="10">
        <v>0.0</v>
      </c>
      <c r="H496" s="14">
        <v>1.0</v>
      </c>
      <c r="I496" s="7">
        <f t="shared" si="1"/>
        <v>2</v>
      </c>
      <c r="J496" s="10" t="str">
        <f>IF(MAX(B496,E496)&gt;=Thresholds!$C$7,"Tier 3 - High",IF(MAX(B496,E496)&gt;=Thresholds!$C$6,"Tier 2 - Moderate","Tier 1 - Low"))</f>
        <v>Tier 1 - Low</v>
      </c>
      <c r="K496" s="7" t="str">
        <f t="shared" si="2"/>
        <v>Low Volume - Setup Needed</v>
      </c>
      <c r="L496" s="10" t="str">
        <f t="shared" si="3"/>
        <v>Low/no B2B traffic yet - set a Business Price (5-10% below retail) and Quantity Discount tiers (e.g. 5+ units 5% off, 10+ units 10% off) to attract first B2B interest; add bulk/case-pack info to title and bullets</v>
      </c>
    </row>
    <row r="497" ht="14.25" customHeight="1">
      <c r="A497" s="10" t="s">
        <v>532</v>
      </c>
      <c r="B497" s="10">
        <v>0.0</v>
      </c>
      <c r="C497" s="10">
        <v>0.0</v>
      </c>
      <c r="D497" s="10">
        <v>0.0</v>
      </c>
      <c r="E497" s="10">
        <v>2.0</v>
      </c>
      <c r="F497" s="10">
        <v>2.0</v>
      </c>
      <c r="G497" s="10">
        <v>0.0</v>
      </c>
      <c r="H497" s="14">
        <v>1.0</v>
      </c>
      <c r="I497" s="7">
        <f t="shared" si="1"/>
        <v>2</v>
      </c>
      <c r="J497" s="10" t="str">
        <f>IF(MAX(B497,E497)&gt;=Thresholds!$C$7,"Tier 3 - High",IF(MAX(B497,E497)&gt;=Thresholds!$C$6,"Tier 2 - Moderate","Tier 1 - Low"))</f>
        <v>Tier 1 - Low</v>
      </c>
      <c r="K497" s="7" t="str">
        <f t="shared" si="2"/>
        <v>Low Volume - Setup Needed</v>
      </c>
      <c r="L497" s="10" t="str">
        <f t="shared" si="3"/>
        <v>Low/no B2B traffic yet - set a Business Price (5-10% below retail) and Quantity Discount tiers (e.g. 5+ units 5% off, 10+ units 10% off) to attract first B2B interest; add bulk/case-pack info to title and bullets</v>
      </c>
    </row>
    <row r="498" ht="14.25" customHeight="1">
      <c r="A498" s="10" t="s">
        <v>533</v>
      </c>
      <c r="B498" s="10">
        <v>0.0</v>
      </c>
      <c r="C498" s="10">
        <v>0.0</v>
      </c>
      <c r="D498" s="10">
        <v>0.0</v>
      </c>
      <c r="E498" s="10">
        <v>2.0</v>
      </c>
      <c r="F498" s="10">
        <v>2.0</v>
      </c>
      <c r="G498" s="10">
        <v>0.0</v>
      </c>
      <c r="H498" s="14">
        <v>0.7297</v>
      </c>
      <c r="I498" s="7">
        <f t="shared" si="1"/>
        <v>2</v>
      </c>
      <c r="J498" s="10" t="str">
        <f>IF(MAX(B498,E498)&gt;=Thresholds!$C$7,"Tier 3 - High",IF(MAX(B498,E498)&gt;=Thresholds!$C$6,"Tier 2 - Moderate","Tier 1 - Low"))</f>
        <v>Tier 1 - Low</v>
      </c>
      <c r="K498" s="7" t="str">
        <f t="shared" si="2"/>
        <v>Low Volume - Setup Needed</v>
      </c>
      <c r="L498" s="10" t="str">
        <f t="shared" si="3"/>
        <v>Low/no B2B traffic yet - set a Business Price (5-10% below retail) and Quantity Discount tiers (e.g. 5+ units 5% off, 10+ units 10% off) to attract first B2B interest; add bulk/case-pack info to title and bullets</v>
      </c>
    </row>
    <row r="499" ht="14.25" customHeight="1">
      <c r="A499" s="10" t="s">
        <v>534</v>
      </c>
      <c r="B499" s="10">
        <v>0.0</v>
      </c>
      <c r="C499" s="10">
        <v>0.0</v>
      </c>
      <c r="D499" s="10">
        <v>0.0</v>
      </c>
      <c r="E499" s="10">
        <v>2.0</v>
      </c>
      <c r="F499" s="10">
        <v>3.0</v>
      </c>
      <c r="G499" s="10">
        <v>0.0</v>
      </c>
      <c r="H499" s="14">
        <v>0.0</v>
      </c>
      <c r="I499" s="7">
        <f t="shared" si="1"/>
        <v>2</v>
      </c>
      <c r="J499" s="10" t="str">
        <f>IF(MAX(B499,E499)&gt;=Thresholds!$C$7,"Tier 3 - High",IF(MAX(B499,E499)&gt;=Thresholds!$C$6,"Tier 2 - Moderate","Tier 1 - Low"))</f>
        <v>Tier 1 - Low</v>
      </c>
      <c r="K499" s="7" t="str">
        <f t="shared" si="2"/>
        <v>Low Volume - Setup Needed</v>
      </c>
      <c r="L499" s="10" t="str">
        <f t="shared" si="3"/>
        <v>Low/no B2B traffic yet - set a Business Price (5-10% below retail) and Quantity Discount tiers (e.g. 5+ units 5% off, 10+ units 10% off) to attract first B2B interest; add bulk/case-pack info to title and bullets</v>
      </c>
    </row>
    <row r="500" ht="14.25" customHeight="1">
      <c r="A500" s="10" t="s">
        <v>535</v>
      </c>
      <c r="B500" s="10">
        <v>0.0</v>
      </c>
      <c r="C500" s="10">
        <v>0.0</v>
      </c>
      <c r="D500" s="10">
        <v>0.0</v>
      </c>
      <c r="E500" s="10">
        <v>2.0</v>
      </c>
      <c r="F500" s="10">
        <v>2.0</v>
      </c>
      <c r="G500" s="10">
        <v>0.0</v>
      </c>
      <c r="H500" s="14">
        <v>1.0</v>
      </c>
      <c r="I500" s="7">
        <f t="shared" si="1"/>
        <v>2</v>
      </c>
      <c r="J500" s="10" t="str">
        <f>IF(MAX(B500,E500)&gt;=Thresholds!$C$7,"Tier 3 - High",IF(MAX(B500,E500)&gt;=Thresholds!$C$6,"Tier 2 - Moderate","Tier 1 - Low"))</f>
        <v>Tier 1 - Low</v>
      </c>
      <c r="K500" s="7" t="str">
        <f t="shared" si="2"/>
        <v>Low Volume - Setup Needed</v>
      </c>
      <c r="L500" s="10" t="str">
        <f t="shared" si="3"/>
        <v>Low/no B2B traffic yet - set a Business Price (5-10% below retail) and Quantity Discount tiers (e.g. 5+ units 5% off, 10+ units 10% off) to attract first B2B interest; add bulk/case-pack info to title and bullets</v>
      </c>
    </row>
    <row r="501" ht="14.25" customHeight="1">
      <c r="A501" s="10" t="s">
        <v>536</v>
      </c>
      <c r="B501" s="10">
        <v>0.0</v>
      </c>
      <c r="C501" s="10">
        <v>0.0</v>
      </c>
      <c r="D501" s="10">
        <v>0.0</v>
      </c>
      <c r="E501" s="10">
        <v>2.0</v>
      </c>
      <c r="F501" s="10">
        <v>2.0</v>
      </c>
      <c r="G501" s="10">
        <v>0.0</v>
      </c>
      <c r="H501" s="14">
        <v>0.9</v>
      </c>
      <c r="I501" s="7">
        <f t="shared" si="1"/>
        <v>2</v>
      </c>
      <c r="J501" s="10" t="str">
        <f>IF(MAX(B501,E501)&gt;=Thresholds!$C$7,"Tier 3 - High",IF(MAX(B501,E501)&gt;=Thresholds!$C$6,"Tier 2 - Moderate","Tier 1 - Low"))</f>
        <v>Tier 1 - Low</v>
      </c>
      <c r="K501" s="7" t="str">
        <f t="shared" si="2"/>
        <v>Low Volume - Setup Needed</v>
      </c>
      <c r="L501" s="10" t="str">
        <f t="shared" si="3"/>
        <v>Low/no B2B traffic yet - set a Business Price (5-10% below retail) and Quantity Discount tiers (e.g. 5+ units 5% off, 10+ units 10% off) to attract first B2B interest; add bulk/case-pack info to title and bullets</v>
      </c>
    </row>
    <row r="502" ht="14.25" customHeight="1">
      <c r="A502" s="10" t="s">
        <v>537</v>
      </c>
      <c r="B502" s="10">
        <v>0.0</v>
      </c>
      <c r="C502" s="10">
        <v>0.0</v>
      </c>
      <c r="D502" s="10">
        <v>0.0</v>
      </c>
      <c r="E502" s="10">
        <v>2.0</v>
      </c>
      <c r="F502" s="10">
        <v>3.0</v>
      </c>
      <c r="G502" s="10">
        <v>0.0</v>
      </c>
      <c r="H502" s="14">
        <v>1.0</v>
      </c>
      <c r="I502" s="7">
        <f t="shared" si="1"/>
        <v>2</v>
      </c>
      <c r="J502" s="10" t="str">
        <f>IF(MAX(B502,E502)&gt;=Thresholds!$C$7,"Tier 3 - High",IF(MAX(B502,E502)&gt;=Thresholds!$C$6,"Tier 2 - Moderate","Tier 1 - Low"))</f>
        <v>Tier 1 - Low</v>
      </c>
      <c r="K502" s="7" t="str">
        <f t="shared" si="2"/>
        <v>Low Volume - Setup Needed</v>
      </c>
      <c r="L502" s="10" t="str">
        <f t="shared" si="3"/>
        <v>Low/no B2B traffic yet - set a Business Price (5-10% below retail) and Quantity Discount tiers (e.g. 5+ units 5% off, 10+ units 10% off) to attract first B2B interest; add bulk/case-pack info to title and bullets</v>
      </c>
    </row>
    <row r="503" ht="14.25" customHeight="1">
      <c r="A503" s="10" t="s">
        <v>538</v>
      </c>
      <c r="B503" s="10">
        <v>0.0</v>
      </c>
      <c r="C503" s="10">
        <v>0.0</v>
      </c>
      <c r="D503" s="10">
        <v>0.0</v>
      </c>
      <c r="E503" s="10">
        <v>2.0</v>
      </c>
      <c r="F503" s="10">
        <v>6.0</v>
      </c>
      <c r="G503" s="10">
        <v>4.0</v>
      </c>
      <c r="H503" s="14">
        <v>0.9</v>
      </c>
      <c r="I503" s="7">
        <f t="shared" si="1"/>
        <v>2</v>
      </c>
      <c r="J503" s="10" t="str">
        <f>IF(MAX(B503,E503)&gt;=Thresholds!$C$7,"Tier 3 - High",IF(MAX(B503,E503)&gt;=Thresholds!$C$6,"Tier 2 - Moderate","Tier 1 - Low"))</f>
        <v>Tier 1 - Low</v>
      </c>
      <c r="K503" s="7" t="str">
        <f t="shared" si="2"/>
        <v>Low Volume - Setup Needed</v>
      </c>
      <c r="L503" s="10" t="str">
        <f t="shared" si="3"/>
        <v>Low/no B2B traffic yet - set a Business Price (5-10% below retail) and Quantity Discount tiers (e.g. 5+ units 5% off, 10+ units 10% off) to attract first B2B interest; add bulk/case-pack info to title and bullets</v>
      </c>
    </row>
    <row r="504" ht="14.25" customHeight="1">
      <c r="A504" s="10" t="s">
        <v>539</v>
      </c>
      <c r="B504" s="10">
        <v>0.0</v>
      </c>
      <c r="C504" s="10">
        <v>0.0</v>
      </c>
      <c r="D504" s="10">
        <v>0.0</v>
      </c>
      <c r="E504" s="10">
        <v>2.0</v>
      </c>
      <c r="F504" s="10">
        <v>2.0</v>
      </c>
      <c r="G504" s="10">
        <v>0.0</v>
      </c>
      <c r="H504" s="14">
        <v>0.8125</v>
      </c>
      <c r="I504" s="7">
        <f t="shared" si="1"/>
        <v>2</v>
      </c>
      <c r="J504" s="10" t="str">
        <f>IF(MAX(B504,E504)&gt;=Thresholds!$C$7,"Tier 3 - High",IF(MAX(B504,E504)&gt;=Thresholds!$C$6,"Tier 2 - Moderate","Tier 1 - Low"))</f>
        <v>Tier 1 - Low</v>
      </c>
      <c r="K504" s="7" t="str">
        <f t="shared" si="2"/>
        <v>Low Volume - Setup Needed</v>
      </c>
      <c r="L504" s="10" t="str">
        <f t="shared" si="3"/>
        <v>Low/no B2B traffic yet - set a Business Price (5-10% below retail) and Quantity Discount tiers (e.g. 5+ units 5% off, 10+ units 10% off) to attract first B2B interest; add bulk/case-pack info to title and bullets</v>
      </c>
    </row>
    <row r="505" ht="14.25" customHeight="1">
      <c r="A505" s="10" t="s">
        <v>540</v>
      </c>
      <c r="B505" s="10">
        <v>0.0</v>
      </c>
      <c r="C505" s="10">
        <v>0.0</v>
      </c>
      <c r="D505" s="10">
        <v>0.0</v>
      </c>
      <c r="E505" s="10">
        <v>2.0</v>
      </c>
      <c r="F505" s="10">
        <v>2.0</v>
      </c>
      <c r="G505" s="10">
        <v>0.0</v>
      </c>
      <c r="H505" s="14">
        <v>1.0</v>
      </c>
      <c r="I505" s="7">
        <f t="shared" si="1"/>
        <v>2</v>
      </c>
      <c r="J505" s="10" t="str">
        <f>IF(MAX(B505,E505)&gt;=Thresholds!$C$7,"Tier 3 - High",IF(MAX(B505,E505)&gt;=Thresholds!$C$6,"Tier 2 - Moderate","Tier 1 - Low"))</f>
        <v>Tier 1 - Low</v>
      </c>
      <c r="K505" s="7" t="str">
        <f t="shared" si="2"/>
        <v>Low Volume - Setup Needed</v>
      </c>
      <c r="L505" s="10" t="str">
        <f t="shared" si="3"/>
        <v>Low/no B2B traffic yet - set a Business Price (5-10% below retail) and Quantity Discount tiers (e.g. 5+ units 5% off, 10+ units 10% off) to attract first B2B interest; add bulk/case-pack info to title and bullets</v>
      </c>
    </row>
    <row r="506" ht="14.25" customHeight="1">
      <c r="A506" s="10" t="s">
        <v>541</v>
      </c>
      <c r="B506" s="10">
        <v>0.0</v>
      </c>
      <c r="C506" s="10">
        <v>0.0</v>
      </c>
      <c r="D506" s="10">
        <v>0.0</v>
      </c>
      <c r="E506" s="10">
        <v>2.0</v>
      </c>
      <c r="F506" s="10">
        <v>2.0</v>
      </c>
      <c r="G506" s="10">
        <v>0.0</v>
      </c>
      <c r="H506" s="14">
        <v>0.0714</v>
      </c>
      <c r="I506" s="7">
        <f t="shared" si="1"/>
        <v>2</v>
      </c>
      <c r="J506" s="10" t="str">
        <f>IF(MAX(B506,E506)&gt;=Thresholds!$C$7,"Tier 3 - High",IF(MAX(B506,E506)&gt;=Thresholds!$C$6,"Tier 2 - Moderate","Tier 1 - Low"))</f>
        <v>Tier 1 - Low</v>
      </c>
      <c r="K506" s="7" t="str">
        <f t="shared" si="2"/>
        <v>Low Volume - Setup Needed</v>
      </c>
      <c r="L506" s="10" t="str">
        <f t="shared" si="3"/>
        <v>Low/no B2B traffic yet - set a Business Price (5-10% below retail) and Quantity Discount tiers (e.g. 5+ units 5% off, 10+ units 10% off) to attract first B2B interest; add bulk/case-pack info to title and bullets</v>
      </c>
    </row>
    <row r="507" ht="14.25" customHeight="1">
      <c r="A507" s="10" t="s">
        <v>542</v>
      </c>
      <c r="B507" s="10">
        <v>0.0</v>
      </c>
      <c r="C507" s="10">
        <v>0.0</v>
      </c>
      <c r="D507" s="10">
        <v>0.0</v>
      </c>
      <c r="E507" s="10">
        <v>2.0</v>
      </c>
      <c r="F507" s="10">
        <v>2.0</v>
      </c>
      <c r="G507" s="10">
        <v>0.0</v>
      </c>
      <c r="H507" s="14">
        <v>0.8333</v>
      </c>
      <c r="I507" s="7">
        <f t="shared" si="1"/>
        <v>2</v>
      </c>
      <c r="J507" s="10" t="str">
        <f>IF(MAX(B507,E507)&gt;=Thresholds!$C$7,"Tier 3 - High",IF(MAX(B507,E507)&gt;=Thresholds!$C$6,"Tier 2 - Moderate","Tier 1 - Low"))</f>
        <v>Tier 1 - Low</v>
      </c>
      <c r="K507" s="7" t="str">
        <f t="shared" si="2"/>
        <v>Low Volume - Setup Needed</v>
      </c>
      <c r="L507" s="10" t="str">
        <f t="shared" si="3"/>
        <v>Low/no B2B traffic yet - set a Business Price (5-10% below retail) and Quantity Discount tiers (e.g. 5+ units 5% off, 10+ units 10% off) to attract first B2B interest; add bulk/case-pack info to title and bullets</v>
      </c>
    </row>
    <row r="508" ht="14.25" customHeight="1">
      <c r="A508" s="10" t="s">
        <v>543</v>
      </c>
      <c r="B508" s="10">
        <v>0.0</v>
      </c>
      <c r="C508" s="10">
        <v>0.0</v>
      </c>
      <c r="D508" s="10">
        <v>0.0</v>
      </c>
      <c r="E508" s="10">
        <v>2.0</v>
      </c>
      <c r="F508" s="10">
        <v>2.0</v>
      </c>
      <c r="G508" s="10">
        <v>0.0</v>
      </c>
      <c r="H508" s="14">
        <v>1.0</v>
      </c>
      <c r="I508" s="7">
        <f t="shared" si="1"/>
        <v>2</v>
      </c>
      <c r="J508" s="10" t="str">
        <f>IF(MAX(B508,E508)&gt;=Thresholds!$C$7,"Tier 3 - High",IF(MAX(B508,E508)&gt;=Thresholds!$C$6,"Tier 2 - Moderate","Tier 1 - Low"))</f>
        <v>Tier 1 - Low</v>
      </c>
      <c r="K508" s="7" t="str">
        <f t="shared" si="2"/>
        <v>Low Volume - Setup Needed</v>
      </c>
      <c r="L508" s="10" t="str">
        <f t="shared" si="3"/>
        <v>Low/no B2B traffic yet - set a Business Price (5-10% below retail) and Quantity Discount tiers (e.g. 5+ units 5% off, 10+ units 10% off) to attract first B2B interest; add bulk/case-pack info to title and bullets</v>
      </c>
    </row>
    <row r="509" ht="14.25" customHeight="1">
      <c r="A509" s="10" t="s">
        <v>544</v>
      </c>
      <c r="B509" s="10">
        <v>0.0</v>
      </c>
      <c r="C509" s="10">
        <v>0.0</v>
      </c>
      <c r="D509" s="10">
        <v>0.0</v>
      </c>
      <c r="E509" s="10">
        <v>2.0</v>
      </c>
      <c r="F509" s="10">
        <v>2.0</v>
      </c>
      <c r="G509" s="10">
        <v>2.0</v>
      </c>
      <c r="H509" s="14">
        <v>0.4286</v>
      </c>
      <c r="I509" s="7">
        <f t="shared" si="1"/>
        <v>2</v>
      </c>
      <c r="J509" s="10" t="str">
        <f>IF(MAX(B509,E509)&gt;=Thresholds!$C$7,"Tier 3 - High",IF(MAX(B509,E509)&gt;=Thresholds!$C$6,"Tier 2 - Moderate","Tier 1 - Low"))</f>
        <v>Tier 1 - Low</v>
      </c>
      <c r="K509" s="7" t="str">
        <f t="shared" si="2"/>
        <v>Low Volume - Setup Needed</v>
      </c>
      <c r="L509" s="10" t="str">
        <f t="shared" si="3"/>
        <v>Low/no B2B traffic yet - set a Business Price (5-10% below retail) and Quantity Discount tiers (e.g. 5+ units 5% off, 10+ units 10% off) to attract first B2B interest; add bulk/case-pack info to title and bullets</v>
      </c>
    </row>
    <row r="510" ht="14.25" customHeight="1">
      <c r="A510" s="10" t="s">
        <v>545</v>
      </c>
      <c r="B510" s="10">
        <v>0.0</v>
      </c>
      <c r="C510" s="10">
        <v>0.0</v>
      </c>
      <c r="D510" s="10">
        <v>0.0</v>
      </c>
      <c r="E510" s="10">
        <v>2.0</v>
      </c>
      <c r="F510" s="10">
        <v>4.0</v>
      </c>
      <c r="G510" s="10">
        <v>0.0</v>
      </c>
      <c r="H510" s="14">
        <v>0.9688</v>
      </c>
      <c r="I510" s="7">
        <f t="shared" si="1"/>
        <v>2</v>
      </c>
      <c r="J510" s="10" t="str">
        <f>IF(MAX(B510,E510)&gt;=Thresholds!$C$7,"Tier 3 - High",IF(MAX(B510,E510)&gt;=Thresholds!$C$6,"Tier 2 - Moderate","Tier 1 - Low"))</f>
        <v>Tier 1 - Low</v>
      </c>
      <c r="K510" s="7" t="str">
        <f t="shared" si="2"/>
        <v>Low Volume - Setup Needed</v>
      </c>
      <c r="L510" s="10" t="str">
        <f t="shared" si="3"/>
        <v>Low/no B2B traffic yet - set a Business Price (5-10% below retail) and Quantity Discount tiers (e.g. 5+ units 5% off, 10+ units 10% off) to attract first B2B interest; add bulk/case-pack info to title and bullets</v>
      </c>
    </row>
    <row r="511" ht="14.25" customHeight="1">
      <c r="A511" s="10" t="s">
        <v>546</v>
      </c>
      <c r="B511" s="10">
        <v>0.0</v>
      </c>
      <c r="C511" s="10">
        <v>0.0</v>
      </c>
      <c r="D511" s="10">
        <v>0.0</v>
      </c>
      <c r="E511" s="10">
        <v>2.0</v>
      </c>
      <c r="F511" s="10">
        <v>2.0</v>
      </c>
      <c r="G511" s="10">
        <v>0.0</v>
      </c>
      <c r="H511" s="14">
        <v>1.0</v>
      </c>
      <c r="I511" s="7">
        <f t="shared" si="1"/>
        <v>2</v>
      </c>
      <c r="J511" s="10" t="str">
        <f>IF(MAX(B511,E511)&gt;=Thresholds!$C$7,"Tier 3 - High",IF(MAX(B511,E511)&gt;=Thresholds!$C$6,"Tier 2 - Moderate","Tier 1 - Low"))</f>
        <v>Tier 1 - Low</v>
      </c>
      <c r="K511" s="7" t="str">
        <f t="shared" si="2"/>
        <v>Low Volume - Setup Needed</v>
      </c>
      <c r="L511" s="10" t="str">
        <f t="shared" si="3"/>
        <v>Low/no B2B traffic yet - set a Business Price (5-10% below retail) and Quantity Discount tiers (e.g. 5+ units 5% off, 10+ units 10% off) to attract first B2B interest; add bulk/case-pack info to title and bullets</v>
      </c>
    </row>
    <row r="512" ht="14.25" customHeight="1">
      <c r="A512" s="10" t="s">
        <v>547</v>
      </c>
      <c r="B512" s="10">
        <v>0.0</v>
      </c>
      <c r="C512" s="10">
        <v>0.0</v>
      </c>
      <c r="D512" s="10">
        <v>0.0</v>
      </c>
      <c r="E512" s="10">
        <v>2.0</v>
      </c>
      <c r="F512" s="10">
        <v>6.0</v>
      </c>
      <c r="G512" s="10">
        <v>0.0</v>
      </c>
      <c r="H512" s="14">
        <v>0.9524</v>
      </c>
      <c r="I512" s="7">
        <f t="shared" si="1"/>
        <v>2</v>
      </c>
      <c r="J512" s="10" t="str">
        <f>IF(MAX(B512,E512)&gt;=Thresholds!$C$7,"Tier 3 - High",IF(MAX(B512,E512)&gt;=Thresholds!$C$6,"Tier 2 - Moderate","Tier 1 - Low"))</f>
        <v>Tier 1 - Low</v>
      </c>
      <c r="K512" s="7" t="str">
        <f t="shared" si="2"/>
        <v>Low Volume - Setup Needed</v>
      </c>
      <c r="L512" s="10" t="str">
        <f t="shared" si="3"/>
        <v>Low/no B2B traffic yet - set a Business Price (5-10% below retail) and Quantity Discount tiers (e.g. 5+ units 5% off, 10+ units 10% off) to attract first B2B interest; add bulk/case-pack info to title and bullets</v>
      </c>
    </row>
    <row r="513" ht="14.25" customHeight="1">
      <c r="A513" s="10" t="s">
        <v>548</v>
      </c>
      <c r="B513" s="10">
        <v>0.0</v>
      </c>
      <c r="C513" s="10">
        <v>0.0</v>
      </c>
      <c r="D513" s="10">
        <v>0.0</v>
      </c>
      <c r="E513" s="10">
        <v>2.0</v>
      </c>
      <c r="F513" s="10">
        <v>3.0</v>
      </c>
      <c r="G513" s="10">
        <v>0.0</v>
      </c>
      <c r="H513" s="14">
        <v>1.0</v>
      </c>
      <c r="I513" s="7">
        <f t="shared" si="1"/>
        <v>2</v>
      </c>
      <c r="J513" s="10" t="str">
        <f>IF(MAX(B513,E513)&gt;=Thresholds!$C$7,"Tier 3 - High",IF(MAX(B513,E513)&gt;=Thresholds!$C$6,"Tier 2 - Moderate","Tier 1 - Low"))</f>
        <v>Tier 1 - Low</v>
      </c>
      <c r="K513" s="7" t="str">
        <f t="shared" si="2"/>
        <v>Low Volume - Setup Needed</v>
      </c>
      <c r="L513" s="10" t="str">
        <f t="shared" si="3"/>
        <v>Low/no B2B traffic yet - set a Business Price (5-10% below retail) and Quantity Discount tiers (e.g. 5+ units 5% off, 10+ units 10% off) to attract first B2B interest; add bulk/case-pack info to title and bullets</v>
      </c>
    </row>
    <row r="514" ht="14.25" customHeight="1">
      <c r="A514" s="10" t="s">
        <v>549</v>
      </c>
      <c r="B514" s="10">
        <v>0.0</v>
      </c>
      <c r="C514" s="10">
        <v>0.0</v>
      </c>
      <c r="D514" s="10">
        <v>0.0</v>
      </c>
      <c r="E514" s="10">
        <v>2.0</v>
      </c>
      <c r="F514" s="10">
        <v>2.0</v>
      </c>
      <c r="G514" s="10">
        <v>0.0</v>
      </c>
      <c r="H514" s="14">
        <v>0.8438</v>
      </c>
      <c r="I514" s="7">
        <f t="shared" si="1"/>
        <v>2</v>
      </c>
      <c r="J514" s="10" t="str">
        <f>IF(MAX(B514,E514)&gt;=Thresholds!$C$7,"Tier 3 - High",IF(MAX(B514,E514)&gt;=Thresholds!$C$6,"Tier 2 - Moderate","Tier 1 - Low"))</f>
        <v>Tier 1 - Low</v>
      </c>
      <c r="K514" s="7" t="str">
        <f t="shared" si="2"/>
        <v>Low Volume - Setup Needed</v>
      </c>
      <c r="L514" s="10" t="str">
        <f t="shared" si="3"/>
        <v>Low/no B2B traffic yet - set a Business Price (5-10% below retail) and Quantity Discount tiers (e.g. 5+ units 5% off, 10+ units 10% off) to attract first B2B interest; add bulk/case-pack info to title and bullets</v>
      </c>
    </row>
    <row r="515" ht="14.25" customHeight="1">
      <c r="A515" s="10" t="s">
        <v>550</v>
      </c>
      <c r="B515" s="10">
        <v>0.0</v>
      </c>
      <c r="C515" s="10">
        <v>0.0</v>
      </c>
      <c r="D515" s="10">
        <v>0.0</v>
      </c>
      <c r="E515" s="10">
        <v>2.0</v>
      </c>
      <c r="F515" s="10">
        <v>7.0</v>
      </c>
      <c r="G515" s="10">
        <v>20.0</v>
      </c>
      <c r="H515" s="14">
        <v>0.9737</v>
      </c>
      <c r="I515" s="7">
        <f t="shared" si="1"/>
        <v>2</v>
      </c>
      <c r="J515" s="10" t="str">
        <f>IF(MAX(B515,E515)&gt;=Thresholds!$C$7,"Tier 3 - High",IF(MAX(B515,E515)&gt;=Thresholds!$C$6,"Tier 2 - Moderate","Tier 1 - Low"))</f>
        <v>Tier 1 - Low</v>
      </c>
      <c r="K515" s="7" t="str">
        <f t="shared" si="2"/>
        <v>Low Volume - Setup Needed</v>
      </c>
      <c r="L515" s="10" t="str">
        <f t="shared" si="3"/>
        <v>Low/no B2B traffic yet - set a Business Price (5-10% below retail) and Quantity Discount tiers (e.g. 5+ units 5% off, 10+ units 10% off) to attract first B2B interest; add bulk/case-pack info to title and bullets</v>
      </c>
    </row>
    <row r="516" ht="14.25" customHeight="1">
      <c r="A516" s="10" t="s">
        <v>551</v>
      </c>
      <c r="B516" s="10">
        <v>0.0</v>
      </c>
      <c r="C516" s="10">
        <v>0.0</v>
      </c>
      <c r="D516" s="10">
        <v>0.0</v>
      </c>
      <c r="E516" s="10">
        <v>2.0</v>
      </c>
      <c r="F516" s="10">
        <v>3.0</v>
      </c>
      <c r="G516" s="10">
        <v>0.0</v>
      </c>
      <c r="H516" s="14">
        <v>1.0</v>
      </c>
      <c r="I516" s="7">
        <f t="shared" si="1"/>
        <v>2</v>
      </c>
      <c r="J516" s="10" t="str">
        <f>IF(MAX(B516,E516)&gt;=Thresholds!$C$7,"Tier 3 - High",IF(MAX(B516,E516)&gt;=Thresholds!$C$6,"Tier 2 - Moderate","Tier 1 - Low"))</f>
        <v>Tier 1 - Low</v>
      </c>
      <c r="K516" s="7" t="str">
        <f t="shared" si="2"/>
        <v>Low Volume - Setup Needed</v>
      </c>
      <c r="L516" s="10" t="str">
        <f t="shared" si="3"/>
        <v>Low/no B2B traffic yet - set a Business Price (5-10% below retail) and Quantity Discount tiers (e.g. 5+ units 5% off, 10+ units 10% off) to attract first B2B interest; add bulk/case-pack info to title and bullets</v>
      </c>
    </row>
    <row r="517" ht="14.25" customHeight="1">
      <c r="A517" s="10" t="s">
        <v>552</v>
      </c>
      <c r="B517" s="10">
        <v>0.0</v>
      </c>
      <c r="C517" s="10">
        <v>0.0</v>
      </c>
      <c r="D517" s="10">
        <v>0.0</v>
      </c>
      <c r="E517" s="10">
        <v>3.0</v>
      </c>
      <c r="F517" s="10">
        <v>3.0</v>
      </c>
      <c r="G517" s="10">
        <v>5.0</v>
      </c>
      <c r="H517" s="14">
        <v>0.9506</v>
      </c>
      <c r="I517" s="7">
        <f t="shared" si="1"/>
        <v>3</v>
      </c>
      <c r="J517" s="10" t="str">
        <f>IF(MAX(B517,E517)&gt;=Thresholds!$C$7,"Tier 3 - High",IF(MAX(B517,E517)&gt;=Thresholds!$C$6,"Tier 2 - Moderate","Tier 1 - Low"))</f>
        <v>Tier 1 - Low</v>
      </c>
      <c r="K517" s="7" t="str">
        <f t="shared" si="2"/>
        <v>Low Volume - Setup Needed</v>
      </c>
      <c r="L517" s="10" t="str">
        <f t="shared" si="3"/>
        <v>Low/no B2B traffic yet - set a Business Price (5-10% below retail) and Quantity Discount tiers (e.g. 5+ units 5% off, 10+ units 10% off) to attract first B2B interest; add bulk/case-pack info to title and bullets</v>
      </c>
    </row>
    <row r="518" ht="14.25" customHeight="1">
      <c r="A518" s="10" t="s">
        <v>553</v>
      </c>
      <c r="B518" s="10">
        <v>0.0</v>
      </c>
      <c r="C518" s="10">
        <v>0.0</v>
      </c>
      <c r="D518" s="10">
        <v>0.0</v>
      </c>
      <c r="E518" s="10">
        <v>3.0</v>
      </c>
      <c r="F518" s="10">
        <v>4.0</v>
      </c>
      <c r="G518" s="10">
        <v>0.0</v>
      </c>
      <c r="H518" s="14">
        <v>0.9518</v>
      </c>
      <c r="I518" s="7">
        <f t="shared" si="1"/>
        <v>3</v>
      </c>
      <c r="J518" s="10" t="str">
        <f>IF(MAX(B518,E518)&gt;=Thresholds!$C$7,"Tier 3 - High",IF(MAX(B518,E518)&gt;=Thresholds!$C$6,"Tier 2 - Moderate","Tier 1 - Low"))</f>
        <v>Tier 1 - Low</v>
      </c>
      <c r="K518" s="7" t="str">
        <f t="shared" si="2"/>
        <v>Low Volume - Setup Needed</v>
      </c>
      <c r="L518" s="10" t="str">
        <f t="shared" si="3"/>
        <v>Low/no B2B traffic yet - set a Business Price (5-10% below retail) and Quantity Discount tiers (e.g. 5+ units 5% off, 10+ units 10% off) to attract first B2B interest; add bulk/case-pack info to title and bullets</v>
      </c>
    </row>
    <row r="519" ht="14.25" customHeight="1">
      <c r="A519" s="10" t="s">
        <v>554</v>
      </c>
      <c r="B519" s="10">
        <v>0.0</v>
      </c>
      <c r="C519" s="10">
        <v>0.0</v>
      </c>
      <c r="D519" s="10">
        <v>0.0</v>
      </c>
      <c r="E519" s="10">
        <v>3.0</v>
      </c>
      <c r="F519" s="10">
        <v>4.0</v>
      </c>
      <c r="G519" s="10">
        <v>0.0</v>
      </c>
      <c r="H519" s="14">
        <v>0.0571</v>
      </c>
      <c r="I519" s="7">
        <f t="shared" si="1"/>
        <v>3</v>
      </c>
      <c r="J519" s="10" t="str">
        <f>IF(MAX(B519,E519)&gt;=Thresholds!$C$7,"Tier 3 - High",IF(MAX(B519,E519)&gt;=Thresholds!$C$6,"Tier 2 - Moderate","Tier 1 - Low"))</f>
        <v>Tier 1 - Low</v>
      </c>
      <c r="K519" s="7" t="str">
        <f t="shared" si="2"/>
        <v>Low Volume - Setup Needed</v>
      </c>
      <c r="L519" s="10" t="str">
        <f t="shared" si="3"/>
        <v>Low/no B2B traffic yet - set a Business Price (5-10% below retail) and Quantity Discount tiers (e.g. 5+ units 5% off, 10+ units 10% off) to attract first B2B interest; add bulk/case-pack info to title and bullets</v>
      </c>
    </row>
    <row r="520" ht="14.25" customHeight="1">
      <c r="A520" s="10" t="s">
        <v>555</v>
      </c>
      <c r="B520" s="10">
        <v>1.0</v>
      </c>
      <c r="C520" s="10">
        <v>1.0</v>
      </c>
      <c r="D520" s="10">
        <v>0.0</v>
      </c>
      <c r="E520" s="10">
        <v>4.0</v>
      </c>
      <c r="F520" s="10">
        <v>4.0</v>
      </c>
      <c r="G520" s="10">
        <v>0.0</v>
      </c>
      <c r="H520" s="14">
        <v>0.9766</v>
      </c>
      <c r="I520" s="7">
        <f t="shared" si="1"/>
        <v>3</v>
      </c>
      <c r="J520" s="10" t="str">
        <f>IF(MAX(B520,E520)&gt;=Thresholds!$C$7,"Tier 3 - High",IF(MAX(B520,E520)&gt;=Thresholds!$C$6,"Tier 2 - Moderate","Tier 1 - Low"))</f>
        <v>Tier 1 - Low</v>
      </c>
      <c r="K520" s="7" t="str">
        <f t="shared" si="2"/>
        <v>Low Volume - Setup Needed</v>
      </c>
      <c r="L520" s="10" t="str">
        <f t="shared" si="3"/>
        <v>Low/no B2B traffic yet - set a Business Price (5-10% below retail) and Quantity Discount tiers (e.g. 5+ units 5% off, 10+ units 10% off) to attract first B2B interest; add bulk/case-pack info to title and bullets</v>
      </c>
    </row>
    <row r="521" ht="14.25" customHeight="1">
      <c r="A521" s="10" t="s">
        <v>556</v>
      </c>
      <c r="B521" s="10">
        <v>0.0</v>
      </c>
      <c r="C521" s="10">
        <v>0.0</v>
      </c>
      <c r="D521" s="10">
        <v>0.0</v>
      </c>
      <c r="E521" s="10">
        <v>3.0</v>
      </c>
      <c r="F521" s="10">
        <v>3.0</v>
      </c>
      <c r="G521" s="10">
        <v>0.0</v>
      </c>
      <c r="H521" s="14">
        <v>1.0</v>
      </c>
      <c r="I521" s="7">
        <f t="shared" si="1"/>
        <v>3</v>
      </c>
      <c r="J521" s="10" t="str">
        <f>IF(MAX(B521,E521)&gt;=Thresholds!$C$7,"Tier 3 - High",IF(MAX(B521,E521)&gt;=Thresholds!$C$6,"Tier 2 - Moderate","Tier 1 - Low"))</f>
        <v>Tier 1 - Low</v>
      </c>
      <c r="K521" s="7" t="str">
        <f t="shared" si="2"/>
        <v>Low Volume - Setup Needed</v>
      </c>
      <c r="L521" s="10" t="str">
        <f t="shared" si="3"/>
        <v>Low/no B2B traffic yet - set a Business Price (5-10% below retail) and Quantity Discount tiers (e.g. 5+ units 5% off, 10+ units 10% off) to attract first B2B interest; add bulk/case-pack info to title and bullets</v>
      </c>
    </row>
    <row r="522" ht="14.25" customHeight="1">
      <c r="A522" s="10" t="s">
        <v>557</v>
      </c>
      <c r="B522" s="10">
        <v>0.0</v>
      </c>
      <c r="C522" s="10">
        <v>0.0</v>
      </c>
      <c r="D522" s="10">
        <v>0.0</v>
      </c>
      <c r="E522" s="10">
        <v>3.0</v>
      </c>
      <c r="F522" s="10">
        <v>3.0</v>
      </c>
      <c r="G522" s="10">
        <v>0.0</v>
      </c>
      <c r="H522" s="14">
        <v>1.0</v>
      </c>
      <c r="I522" s="7">
        <f t="shared" si="1"/>
        <v>3</v>
      </c>
      <c r="J522" s="10" t="str">
        <f>IF(MAX(B522,E522)&gt;=Thresholds!$C$7,"Tier 3 - High",IF(MAX(B522,E522)&gt;=Thresholds!$C$6,"Tier 2 - Moderate","Tier 1 - Low"))</f>
        <v>Tier 1 - Low</v>
      </c>
      <c r="K522" s="7" t="str">
        <f t="shared" si="2"/>
        <v>Low Volume - Setup Needed</v>
      </c>
      <c r="L522" s="10" t="str">
        <f t="shared" si="3"/>
        <v>Low/no B2B traffic yet - set a Business Price (5-10% below retail) and Quantity Discount tiers (e.g. 5+ units 5% off, 10+ units 10% off) to attract first B2B interest; add bulk/case-pack info to title and bullets</v>
      </c>
    </row>
    <row r="523" ht="14.25" customHeight="1">
      <c r="A523" s="10" t="s">
        <v>558</v>
      </c>
      <c r="B523" s="10">
        <v>0.0</v>
      </c>
      <c r="C523" s="10">
        <v>0.0</v>
      </c>
      <c r="D523" s="10">
        <v>0.0</v>
      </c>
      <c r="E523" s="10">
        <v>3.0</v>
      </c>
      <c r="F523" s="10">
        <v>3.0</v>
      </c>
      <c r="G523" s="10">
        <v>0.0</v>
      </c>
      <c r="H523" s="14">
        <v>0.8333</v>
      </c>
      <c r="I523" s="7">
        <f t="shared" si="1"/>
        <v>3</v>
      </c>
      <c r="J523" s="10" t="str">
        <f>IF(MAX(B523,E523)&gt;=Thresholds!$C$7,"Tier 3 - High",IF(MAX(B523,E523)&gt;=Thresholds!$C$6,"Tier 2 - Moderate","Tier 1 - Low"))</f>
        <v>Tier 1 - Low</v>
      </c>
      <c r="K523" s="7" t="str">
        <f t="shared" si="2"/>
        <v>Low Volume - Setup Needed</v>
      </c>
      <c r="L523" s="10" t="str">
        <f t="shared" si="3"/>
        <v>Low/no B2B traffic yet - set a Business Price (5-10% below retail) and Quantity Discount tiers (e.g. 5+ units 5% off, 10+ units 10% off) to attract first B2B interest; add bulk/case-pack info to title and bullets</v>
      </c>
    </row>
    <row r="524" ht="14.25" customHeight="1">
      <c r="A524" s="10" t="s">
        <v>559</v>
      </c>
      <c r="B524" s="10">
        <v>1.0</v>
      </c>
      <c r="C524" s="10">
        <v>1.0</v>
      </c>
      <c r="D524" s="10">
        <v>0.0</v>
      </c>
      <c r="E524" s="10">
        <v>4.0</v>
      </c>
      <c r="F524" s="10">
        <v>4.0</v>
      </c>
      <c r="G524" s="10">
        <v>0.0</v>
      </c>
      <c r="H524" s="14">
        <v>0.9833</v>
      </c>
      <c r="I524" s="7">
        <f t="shared" si="1"/>
        <v>3</v>
      </c>
      <c r="J524" s="10" t="str">
        <f>IF(MAX(B524,E524)&gt;=Thresholds!$C$7,"Tier 3 - High",IF(MAX(B524,E524)&gt;=Thresholds!$C$6,"Tier 2 - Moderate","Tier 1 - Low"))</f>
        <v>Tier 1 - Low</v>
      </c>
      <c r="K524" s="7" t="str">
        <f t="shared" si="2"/>
        <v>Low Volume - Setup Needed</v>
      </c>
      <c r="L524" s="10" t="str">
        <f t="shared" si="3"/>
        <v>Low/no B2B traffic yet - set a Business Price (5-10% below retail) and Quantity Discount tiers (e.g. 5+ units 5% off, 10+ units 10% off) to attract first B2B interest; add bulk/case-pack info to title and bullets</v>
      </c>
    </row>
    <row r="525" ht="14.25" customHeight="1">
      <c r="A525" s="10" t="s">
        <v>560</v>
      </c>
      <c r="B525" s="10">
        <v>0.0</v>
      </c>
      <c r="C525" s="10">
        <v>0.0</v>
      </c>
      <c r="D525" s="10">
        <v>0.0</v>
      </c>
      <c r="E525" s="10">
        <v>4.0</v>
      </c>
      <c r="F525" s="10">
        <v>6.0</v>
      </c>
      <c r="G525" s="10">
        <v>0.0</v>
      </c>
      <c r="H525" s="14">
        <v>1.0</v>
      </c>
      <c r="I525" s="7">
        <f t="shared" si="1"/>
        <v>4</v>
      </c>
      <c r="J525" s="10" t="str">
        <f>IF(MAX(B525,E525)&gt;=Thresholds!$C$7,"Tier 3 - High",IF(MAX(B525,E525)&gt;=Thresholds!$C$6,"Tier 2 - Moderate","Tier 1 - Low"))</f>
        <v>Tier 1 - Low</v>
      </c>
      <c r="K525" s="7" t="str">
        <f t="shared" si="2"/>
        <v>Low Volume - Setup Needed</v>
      </c>
      <c r="L525" s="10" t="str">
        <f t="shared" si="3"/>
        <v>Low/no B2B traffic yet - set a Business Price (5-10% below retail) and Quantity Discount tiers (e.g. 5+ units 5% off, 10+ units 10% off) to attract first B2B interest; add bulk/case-pack info to title and bullets</v>
      </c>
    </row>
    <row r="526" ht="14.25" customHeight="1">
      <c r="A526" s="10" t="s">
        <v>561</v>
      </c>
      <c r="B526" s="10">
        <v>0.0</v>
      </c>
      <c r="C526" s="10">
        <v>0.0</v>
      </c>
      <c r="D526" s="10">
        <v>0.0</v>
      </c>
      <c r="E526" s="10">
        <v>4.0</v>
      </c>
      <c r="F526" s="10">
        <v>4.0</v>
      </c>
      <c r="G526" s="10">
        <v>1.0</v>
      </c>
      <c r="H526" s="14">
        <v>0.7955</v>
      </c>
      <c r="I526" s="7">
        <f t="shared" si="1"/>
        <v>4</v>
      </c>
      <c r="J526" s="10" t="str">
        <f>IF(MAX(B526,E526)&gt;=Thresholds!$C$7,"Tier 3 - High",IF(MAX(B526,E526)&gt;=Thresholds!$C$6,"Tier 2 - Moderate","Tier 1 - Low"))</f>
        <v>Tier 1 - Low</v>
      </c>
      <c r="K526" s="7" t="str">
        <f t="shared" si="2"/>
        <v>Low Volume - Setup Needed</v>
      </c>
      <c r="L526" s="10" t="str">
        <f t="shared" si="3"/>
        <v>Low/no B2B traffic yet - set a Business Price (5-10% below retail) and Quantity Discount tiers (e.g. 5+ units 5% off, 10+ units 10% off) to attract first B2B interest; add bulk/case-pack info to title and bullets</v>
      </c>
    </row>
    <row r="527" ht="14.25" customHeight="1">
      <c r="A527" s="10" t="s">
        <v>562</v>
      </c>
      <c r="B527" s="10">
        <v>0.0</v>
      </c>
      <c r="C527" s="10">
        <v>0.0</v>
      </c>
      <c r="D527" s="10">
        <v>0.0</v>
      </c>
      <c r="E527" s="10">
        <v>4.0</v>
      </c>
      <c r="F527" s="10">
        <v>7.0</v>
      </c>
      <c r="G527" s="10">
        <v>0.0</v>
      </c>
      <c r="H527" s="14">
        <v>1.0</v>
      </c>
      <c r="I527" s="7">
        <f t="shared" si="1"/>
        <v>4</v>
      </c>
      <c r="J527" s="10" t="str">
        <f>IF(MAX(B527,E527)&gt;=Thresholds!$C$7,"Tier 3 - High",IF(MAX(B527,E527)&gt;=Thresholds!$C$6,"Tier 2 - Moderate","Tier 1 - Low"))</f>
        <v>Tier 1 - Low</v>
      </c>
      <c r="K527" s="7" t="str">
        <f t="shared" si="2"/>
        <v>Low Volume - Setup Needed</v>
      </c>
      <c r="L527" s="10" t="str">
        <f t="shared" si="3"/>
        <v>Low/no B2B traffic yet - set a Business Price (5-10% below retail) and Quantity Discount tiers (e.g. 5+ units 5% off, 10+ units 10% off) to attract first B2B interest; add bulk/case-pack info to title and bullets</v>
      </c>
    </row>
    <row r="528" ht="14.25" customHeight="1">
      <c r="A528" s="10" t="s">
        <v>563</v>
      </c>
      <c r="B528" s="10">
        <v>1.0</v>
      </c>
      <c r="C528" s="10">
        <v>2.0</v>
      </c>
      <c r="D528" s="10">
        <v>0.0</v>
      </c>
      <c r="E528" s="10">
        <v>5.0</v>
      </c>
      <c r="F528" s="10">
        <v>6.0</v>
      </c>
      <c r="G528" s="10">
        <v>1.0</v>
      </c>
      <c r="H528" s="14">
        <v>1.0</v>
      </c>
      <c r="I528" s="7">
        <f t="shared" si="1"/>
        <v>4</v>
      </c>
      <c r="J528" s="10" t="str">
        <f>IF(MAX(B528,E528)&gt;=Thresholds!$C$7,"Tier 3 - High",IF(MAX(B528,E528)&gt;=Thresholds!$C$6,"Tier 2 - Moderate","Tier 1 - Low"))</f>
        <v>Tier 2 - Moderate</v>
      </c>
      <c r="K528" s="7" t="str">
        <f t="shared" si="2"/>
        <v>Moderate - Review</v>
      </c>
      <c r="L528" s="10" t="str">
        <f t="shared" si="3"/>
        <v>Light check - Buy Box %, confirm Business Price/Quantity Discount still active, quick scan of title and main image</v>
      </c>
    </row>
    <row r="529" ht="14.25" customHeight="1">
      <c r="A529" s="10" t="s">
        <v>564</v>
      </c>
      <c r="B529" s="10">
        <v>3.0</v>
      </c>
      <c r="C529" s="10">
        <v>4.0</v>
      </c>
      <c r="D529" s="10">
        <v>0.0</v>
      </c>
      <c r="E529" s="10">
        <v>8.0</v>
      </c>
      <c r="F529" s="10">
        <v>16.0</v>
      </c>
      <c r="G529" s="10">
        <v>0.0</v>
      </c>
      <c r="H529" s="14">
        <v>0.8108</v>
      </c>
      <c r="I529" s="7">
        <f t="shared" si="1"/>
        <v>5</v>
      </c>
      <c r="J529" s="10" t="str">
        <f>IF(MAX(B529,E529)&gt;=Thresholds!$C$7,"Tier 3 - High",IF(MAX(B529,E529)&gt;=Thresholds!$C$6,"Tier 2 - Moderate","Tier 1 - Low"))</f>
        <v>Tier 2 - Moderate</v>
      </c>
      <c r="K529" s="7" t="str">
        <f t="shared" si="2"/>
        <v>Moderate - Review</v>
      </c>
      <c r="L529" s="10" t="str">
        <f t="shared" si="3"/>
        <v>Light check - Buy Box %, confirm Business Price/Quantity Discount still active, quick scan of title and main image</v>
      </c>
    </row>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conditionalFormatting sqref="K4:K529">
    <cfRule type="expression" dxfId="0" priority="1">
      <formula>ISNUMBER(SEARCH("High",K4))</formula>
    </cfRule>
  </conditionalFormatting>
  <conditionalFormatting sqref="K4:K529">
    <cfRule type="expression" dxfId="1" priority="2">
      <formula>ISNUMBER(SEARCH("Moderate",K4))</formula>
    </cfRule>
  </conditionalFormatting>
  <conditionalFormatting sqref="K4:K529">
    <cfRule type="expression" dxfId="2" priority="3">
      <formula>ISNUMBER(SEARCH("Setup Needed",K4))</formula>
    </cfRule>
  </conditionalFormatting>
  <printOptions/>
  <pageMargins bottom="1.0" footer="0.0" header="0.0" left="0.75" right="0.75" top="1.0"/>
  <pageSetup paperSize="9" orientation="portrait"/>
  <drawing r:id="rId1"/>
</worksheet>
</file>