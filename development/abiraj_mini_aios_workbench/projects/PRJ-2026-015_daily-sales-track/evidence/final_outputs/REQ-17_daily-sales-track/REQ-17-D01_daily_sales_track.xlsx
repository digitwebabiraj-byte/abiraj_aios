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Sales Track" sheetId="1" state="visible" r:id="rId1"/>
    <sheet xmlns:r="http://schemas.openxmlformats.org/officeDocument/2006/relationships" name="KPI Summary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Engine Inputs" sheetId="4" state="visible" r:id="rId4"/>
    <sheet xmlns:r="http://schemas.openxmlformats.org/officeDocument/2006/relationships" name="Data Notes" sheetId="5" state="visible" r:id="rId5"/>
  </sheets>
  <definedNames>
    <definedName name="_xlnm._FilterDatabase" localSheetId="0" hidden="1">'Daily Sales Track'!$A$1:$X$33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d-mmm-yyyy"/>
    <numFmt numFmtId="166" formatCode="&quot;£&quot;#,##0.00"/>
    <numFmt numFmtId="167" formatCode="&quot;€&quot;#,##0.00"/>
    <numFmt numFmtId="168" formatCode="&quot;$&quot;#,##0.00"/>
    <numFmt numFmtId="169" formatCode="&quot;CA$&quot;#,##0.00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808080"/>
    </font>
    <font>
      <b val="1"/>
      <color rgb="001F3864"/>
      <sz val="13"/>
    </font>
    <font>
      <b val="1"/>
      <color rgb="00C0000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0" fontId="0" fillId="0" borderId="1" pivotButton="0" quotePrefix="0" xfId="0"/>
    <xf numFmtId="3" fontId="0" fillId="0" borderId="1" pivotButton="0" quotePrefix="0" xfId="0"/>
    <xf numFmtId="167" fontId="0" fillId="0" borderId="1" pivotButton="0" quotePrefix="0" xfId="0"/>
    <xf numFmtId="0" fontId="2" fillId="0" borderId="1" pivotButton="0" quotePrefix="0" xfId="0"/>
    <xf numFmtId="168" fontId="0" fillId="0" borderId="1" pivotButton="0" quotePrefix="0" xfId="0"/>
    <xf numFmtId="169" fontId="0" fillId="0" borderId="1" pivotButton="0" quotePrefix="0" xfId="0"/>
    <xf numFmtId="0" fontId="3" fillId="0" borderId="0" pivotButton="0" quotePrefix="0" xfId="0"/>
    <xf numFmtId="165" fontId="0" fillId="0" borderId="0" pivotButton="0" quotePrefix="0" xfId="0"/>
    <xf numFmtId="0" fontId="1" fillId="2" borderId="1" pivotButton="0" quotePrefix="0" xfId="0"/>
    <xf numFmtId="10" fontId="0" fillId="3" borderId="1" pivotButton="0" quotePrefix="0" xfId="0"/>
    <xf numFmtId="0" fontId="4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2" customWidth="1" min="2" max="2"/>
    <col width="10" customWidth="1" min="3" max="3"/>
    <col width="12" customWidth="1" min="4" max="4"/>
    <col width="15" customWidth="1" min="5" max="5"/>
    <col width="16" customWidth="1" min="6" max="6"/>
    <col width="13" customWidth="1" min="7" max="7"/>
    <col width="13" customWidth="1" min="8" max="8"/>
    <col width="18" customWidth="1" min="9" max="9"/>
    <col width="13" customWidth="1" min="10" max="10"/>
    <col width="15" customWidth="1" min="11" max="11"/>
    <col width="13" customWidth="1" min="12" max="12"/>
    <col width="16" customWidth="1" min="13" max="13"/>
    <col width="11" customWidth="1" min="14" max="14"/>
    <col width="16" customWidth="1" min="15" max="15"/>
    <col width="13" customWidth="1" min="16" max="16"/>
    <col width="12" customWidth="1" min="17" max="17"/>
    <col width="15" customWidth="1" min="18" max="18"/>
    <col width="15" customWidth="1" min="19" max="19"/>
    <col width="12" customWidth="1" min="20" max="20"/>
    <col width="15" customWidth="1" min="21" max="21"/>
    <col width="15" customWidth="1" min="22" max="22"/>
    <col width="18" customWidth="1" min="23" max="23"/>
    <col width="16" customWidth="1" min="24" max="24"/>
  </cols>
  <sheetData>
    <row r="1" ht="34" customHeight="1">
      <c r="A1" s="1" t="inlineStr">
        <is>
          <t>Account</t>
        </is>
      </c>
      <c r="B1" s="1" t="inlineStr">
        <is>
          <t>Market</t>
        </is>
      </c>
      <c r="C1" s="1" t="inlineStr">
        <is>
          <t>Currency</t>
        </is>
      </c>
      <c r="D1" s="1" t="inlineStr">
        <is>
          <t>Date</t>
        </is>
      </c>
      <c r="E1" s="1" t="inlineStr">
        <is>
          <t>Today's Sales</t>
        </is>
      </c>
      <c r="F1" s="1" t="inlineStr">
        <is>
          <t>Yesterday Sales</t>
        </is>
      </c>
      <c r="G1" s="1" t="inlineStr">
        <is>
          <t>Sales Diff</t>
        </is>
      </c>
      <c r="H1" s="1" t="inlineStr">
        <is>
          <t>Sales Growth %</t>
        </is>
      </c>
      <c r="I1" s="1" t="inlineStr">
        <is>
          <t>Same Day LY Sales</t>
        </is>
      </c>
      <c r="J1" s="1" t="inlineStr">
        <is>
          <t>Today's Orders</t>
        </is>
      </c>
      <c r="K1" s="1" t="inlineStr">
        <is>
          <t>Yesterday Orders</t>
        </is>
      </c>
      <c r="L1" s="1" t="inlineStr">
        <is>
          <t>Order Growth %</t>
        </is>
      </c>
      <c r="M1" s="1" t="inlineStr">
        <is>
          <t>Same Day LY Orders</t>
        </is>
      </c>
      <c r="N1" s="1" t="inlineStr">
        <is>
          <t>Units Sold</t>
        </is>
      </c>
      <c r="O1" s="1" t="inlineStr">
        <is>
          <t>Avg Order Value</t>
        </is>
      </c>
      <c r="P1" s="1" t="inlineStr">
        <is>
          <t>Active Listing</t>
        </is>
      </c>
      <c r="Q1" s="1" t="inlineStr">
        <is>
          <t>AH Listing</t>
        </is>
      </c>
      <c r="R1" s="1" t="inlineStr">
        <is>
          <t>AH Listing Sales</t>
        </is>
      </c>
      <c r="S1" s="1" t="inlineStr">
        <is>
          <t>AH Sales Trend</t>
        </is>
      </c>
      <c r="T1" s="1" t="inlineStr">
        <is>
          <t>PH Listing</t>
        </is>
      </c>
      <c r="U1" s="1" t="inlineStr">
        <is>
          <t>PH Listing Sales</t>
        </is>
      </c>
      <c r="V1" s="1" t="inlineStr">
        <is>
          <t>PH Sales Trend</t>
        </is>
      </c>
      <c r="W1" s="1" t="inlineStr">
        <is>
          <t>Account Sales Trend</t>
        </is>
      </c>
      <c r="X1" s="1" t="inlineStr">
        <is>
          <t>AH Holder</t>
        </is>
      </c>
    </row>
    <row r="2">
      <c r="A2" s="2" t="inlineStr">
        <is>
          <t>LEDSone UK</t>
        </is>
      </c>
      <c r="B2" s="2" t="inlineStr">
        <is>
          <t>UK</t>
        </is>
      </c>
      <c r="C2" s="2" t="inlineStr">
        <is>
          <t>GBP</t>
        </is>
      </c>
      <c r="D2" s="3" t="n">
        <v>46251</v>
      </c>
      <c r="E2" s="4" t="n">
        <v>1122.21</v>
      </c>
      <c r="F2" s="4" t="n">
        <v>1160.45</v>
      </c>
      <c r="G2" s="4">
        <f>E2-F2</f>
        <v/>
      </c>
      <c r="H2" s="5">
        <f>IF(F2=0,"",(E2-F2)/F2)</f>
        <v/>
      </c>
      <c r="I2" s="4" t="n">
        <v>928.1</v>
      </c>
      <c r="J2" s="6" t="n">
        <v>67</v>
      </c>
      <c r="K2" s="6" t="n">
        <v>65</v>
      </c>
      <c r="L2" s="5">
        <f>IF(K2=0,"",(J2-K2)/K2)</f>
        <v/>
      </c>
      <c r="M2" s="6" t="n">
        <v>69</v>
      </c>
      <c r="N2" s="6" t="n">
        <v>104</v>
      </c>
      <c r="O2" s="4">
        <f>IF(J2=0,"",E2/J2)</f>
        <v/>
      </c>
      <c r="P2" s="6" t="n">
        <v>3062</v>
      </c>
      <c r="Q2" s="6" t="n">
        <v>1756</v>
      </c>
      <c r="R2" s="4" t="n">
        <v>603.2</v>
      </c>
      <c r="S2" s="2">
        <f>IF(AND('Engine Inputs'!E2=0,R2=0),"",IF('Engine Inputs'!E2=0,"📈 Up",IF((R2-'Engine Inputs'!E2)/'Engine Inputs'!E2&gt;Config!$B$2,"📈 Up",IF((R2-'Engine Inputs'!E2)/'Engine Inputs'!E2&lt;-Config!$B$2,"📉 Down","➡ Stable"))))</f>
        <v/>
      </c>
      <c r="T2" s="6" t="n">
        <v>1306</v>
      </c>
      <c r="U2" s="4" t="n">
        <v>517.77</v>
      </c>
      <c r="V2" s="2">
        <f>IF(AND('Engine Inputs'!D2=0,U2=0),"",IF('Engine Inputs'!D2=0,"📈 Up",IF((U2-'Engine Inputs'!D2)/'Engine Inputs'!D2&gt;Config!$B$2,"📈 Up",IF((U2-'Engine Inputs'!D2)/'Engine Inputs'!D2&lt;-Config!$B$2,"📉 Down","➡ Stable"))))</f>
        <v/>
      </c>
      <c r="W2" s="2">
        <f>IF(AND(F2=0,E2=0),"",IF(F2=0,"📈 Up",IF((E2-F2)/F2&gt;Config!$B$2,"📈 Up",IF((E2-F2)/F2&lt;-Config!$B$2,"📉 Down","➡ Stable"))))</f>
        <v/>
      </c>
      <c r="X2" s="2" t="inlineStr">
        <is>
          <t>Sharmilan</t>
        </is>
      </c>
    </row>
    <row r="3">
      <c r="A3" s="2" t="inlineStr">
        <is>
          <t>ElectricalSone UK</t>
        </is>
      </c>
      <c r="B3" s="2" t="inlineStr">
        <is>
          <t>UK</t>
        </is>
      </c>
      <c r="C3" s="2" t="inlineStr">
        <is>
          <t>GBP</t>
        </is>
      </c>
      <c r="D3" s="3" t="n">
        <v>46251</v>
      </c>
      <c r="E3" s="4" t="n">
        <v>537.51</v>
      </c>
      <c r="F3" s="4" t="n">
        <v>293.97</v>
      </c>
      <c r="G3" s="4">
        <f>E3-F3</f>
        <v/>
      </c>
      <c r="H3" s="5">
        <f>IF(F3=0,"",(E3-F3)/F3)</f>
        <v/>
      </c>
      <c r="I3" s="4" t="n">
        <v>764.91</v>
      </c>
      <c r="J3" s="6" t="n">
        <v>33</v>
      </c>
      <c r="K3" s="6" t="n">
        <v>19</v>
      </c>
      <c r="L3" s="5">
        <f>IF(K3=0,"",(J3-K3)/K3)</f>
        <v/>
      </c>
      <c r="M3" s="6" t="n">
        <v>47</v>
      </c>
      <c r="N3" s="6" t="n">
        <v>44</v>
      </c>
      <c r="O3" s="4">
        <f>IF(J3=0,"",E3/J3)</f>
        <v/>
      </c>
      <c r="P3" s="6" t="n">
        <v>1699</v>
      </c>
      <c r="Q3" s="6" t="n">
        <v>1102</v>
      </c>
      <c r="R3" s="4" t="n">
        <v>306.32</v>
      </c>
      <c r="S3" s="2">
        <f>IF(AND('Engine Inputs'!E3=0,R3=0),"",IF('Engine Inputs'!E3=0,"📈 Up",IF((R3-'Engine Inputs'!E3)/'Engine Inputs'!E3&gt;Config!$B$2,"📈 Up",IF((R3-'Engine Inputs'!E3)/'Engine Inputs'!E3&lt;-Config!$B$2,"📉 Down","➡ Stable"))))</f>
        <v/>
      </c>
      <c r="T3" s="6" t="n">
        <v>597</v>
      </c>
      <c r="U3" s="4" t="n">
        <v>237.96</v>
      </c>
      <c r="V3" s="2">
        <f>IF(AND('Engine Inputs'!D3=0,U3=0),"",IF('Engine Inputs'!D3=0,"📈 Up",IF((U3-'Engine Inputs'!D3)/'Engine Inputs'!D3&gt;Config!$B$2,"📈 Up",IF((U3-'Engine Inputs'!D3)/'Engine Inputs'!D3&lt;-Config!$B$2,"📉 Down","➡ Stable"))))</f>
        <v/>
      </c>
      <c r="W3" s="2">
        <f>IF(AND(F3=0,E3=0),"",IF(F3=0,"📈 Up",IF((E3-F3)/F3&gt;Config!$B$2,"📈 Up",IF((E3-F3)/F3&lt;-Config!$B$2,"📉 Down","➡ Stable"))))</f>
        <v/>
      </c>
      <c r="X3" s="2" t="inlineStr">
        <is>
          <t>Kobiga</t>
        </is>
      </c>
    </row>
    <row r="4">
      <c r="A4" s="2" t="inlineStr">
        <is>
          <t>LEDSone UK</t>
        </is>
      </c>
      <c r="B4" s="2" t="inlineStr">
        <is>
          <t>Germany</t>
        </is>
      </c>
      <c r="C4" s="2" t="inlineStr">
        <is>
          <t>EUR</t>
        </is>
      </c>
      <c r="D4" s="3" t="n">
        <v>46251</v>
      </c>
      <c r="E4" s="7" t="n">
        <v>302.99</v>
      </c>
      <c r="F4" s="7" t="n">
        <v>320.86</v>
      </c>
      <c r="G4" s="7">
        <f>E4-F4</f>
        <v/>
      </c>
      <c r="H4" s="5">
        <f>IF(F4=0,"",(E4-F4)/F4)</f>
        <v/>
      </c>
      <c r="I4" s="7" t="n">
        <v>767.77</v>
      </c>
      <c r="J4" s="6" t="n">
        <v>13</v>
      </c>
      <c r="K4" s="6" t="n">
        <v>12</v>
      </c>
      <c r="L4" s="5">
        <f>IF(K4=0,"",(J4-K4)/K4)</f>
        <v/>
      </c>
      <c r="M4" s="6" t="n">
        <v>25</v>
      </c>
      <c r="N4" s="6" t="n">
        <v>16</v>
      </c>
      <c r="O4" s="7">
        <f>IF(J4=0,"",E4/J4)</f>
        <v/>
      </c>
      <c r="P4" s="6" t="n">
        <v>1453</v>
      </c>
      <c r="Q4" s="6" t="n">
        <v>1221</v>
      </c>
      <c r="R4" s="7" t="n">
        <v>199.69</v>
      </c>
      <c r="S4" s="2">
        <f>IF(AND('Engine Inputs'!E4=0,R4=0),"",IF('Engine Inputs'!E4=0,"📈 Up",IF((R4-'Engine Inputs'!E4)/'Engine Inputs'!E4&gt;Config!$B$2,"📈 Up",IF((R4-'Engine Inputs'!E4)/'Engine Inputs'!E4&lt;-Config!$B$2,"📉 Down","➡ Stable"))))</f>
        <v/>
      </c>
      <c r="T4" s="6" t="n">
        <v>232</v>
      </c>
      <c r="U4" s="7" t="n">
        <v>3.78</v>
      </c>
      <c r="V4" s="2">
        <f>IF(AND('Engine Inputs'!D4=0,U4=0),"",IF('Engine Inputs'!D4=0,"📈 Up",IF((U4-'Engine Inputs'!D4)/'Engine Inputs'!D4&gt;Config!$B$2,"📈 Up",IF((U4-'Engine Inputs'!D4)/'Engine Inputs'!D4&lt;-Config!$B$2,"📉 Down","➡ Stable"))))</f>
        <v/>
      </c>
      <c r="W4" s="2">
        <f>IF(AND(F4=0,E4=0),"",IF(F4=0,"📈 Up",IF((E4-F4)/F4&gt;Config!$B$2,"📈 Up",IF((E4-F4)/F4&lt;-Config!$B$2,"📉 Down","➡ Stable"))))</f>
        <v/>
      </c>
      <c r="X4" s="2" t="inlineStr">
        <is>
          <t>Sharmilan</t>
        </is>
      </c>
    </row>
    <row r="5">
      <c r="A5" s="2" t="inlineStr">
        <is>
          <t>Sunsone</t>
        </is>
      </c>
      <c r="B5" s="2" t="inlineStr">
        <is>
          <t>UK</t>
        </is>
      </c>
      <c r="C5" s="2" t="inlineStr">
        <is>
          <t>GBP</t>
        </is>
      </c>
      <c r="D5" s="3" t="n">
        <v>46251</v>
      </c>
      <c r="E5" s="4" t="n">
        <v>320.64</v>
      </c>
      <c r="F5" s="4" t="n">
        <v>234.77</v>
      </c>
      <c r="G5" s="4">
        <f>E5-F5</f>
        <v/>
      </c>
      <c r="H5" s="5">
        <f>IF(F5=0,"",(E5-F5)/F5)</f>
        <v/>
      </c>
      <c r="I5" s="4" t="n">
        <v>203.52</v>
      </c>
      <c r="J5" s="6" t="n">
        <v>18</v>
      </c>
      <c r="K5" s="6" t="n">
        <v>15</v>
      </c>
      <c r="L5" s="5">
        <f>IF(K5=0,"",(J5-K5)/K5)</f>
        <v/>
      </c>
      <c r="M5" s="6" t="n">
        <v>14</v>
      </c>
      <c r="N5" s="6" t="n">
        <v>34</v>
      </c>
      <c r="O5" s="4">
        <f>IF(J5=0,"",E5/J5)</f>
        <v/>
      </c>
      <c r="P5" s="6" t="n">
        <v>1214</v>
      </c>
      <c r="Q5" s="6" t="n">
        <v>744</v>
      </c>
      <c r="R5" s="4" t="n">
        <v>234.1</v>
      </c>
      <c r="S5" s="2">
        <f>IF(AND('Engine Inputs'!E5=0,R5=0),"",IF('Engine Inputs'!E5=0,"📈 Up",IF((R5-'Engine Inputs'!E5)/'Engine Inputs'!E5&gt;Config!$B$2,"📈 Up",IF((R5-'Engine Inputs'!E5)/'Engine Inputs'!E5&lt;-Config!$B$2,"📉 Down","➡ Stable"))))</f>
        <v/>
      </c>
      <c r="T5" s="6" t="n">
        <v>470</v>
      </c>
      <c r="U5" s="4" t="n">
        <v>87.39</v>
      </c>
      <c r="V5" s="2">
        <f>IF(AND('Engine Inputs'!D5=0,U5=0),"",IF('Engine Inputs'!D5=0,"📈 Up",IF((U5-'Engine Inputs'!D5)/'Engine Inputs'!D5&gt;Config!$B$2,"📈 Up",IF((U5-'Engine Inputs'!D5)/'Engine Inputs'!D5&lt;-Config!$B$2,"📉 Down","➡ Stable"))))</f>
        <v/>
      </c>
      <c r="W5" s="2">
        <f>IF(AND(F5=0,E5=0),"",IF(F5=0,"📈 Up",IF((E5-F5)/F5&gt;Config!$B$2,"📈 Up",IF((E5-F5)/F5&lt;-Config!$B$2,"📉 Down","➡ Stable"))))</f>
        <v/>
      </c>
      <c r="X5" s="2" t="inlineStr">
        <is>
          <t>Powsteena</t>
        </is>
      </c>
    </row>
    <row r="6">
      <c r="A6" s="2" t="inlineStr">
        <is>
          <t>LEDSone DE</t>
        </is>
      </c>
      <c r="B6" s="2" t="inlineStr">
        <is>
          <t>Germany</t>
        </is>
      </c>
      <c r="C6" s="2" t="inlineStr">
        <is>
          <t>EUR</t>
        </is>
      </c>
      <c r="D6" s="3" t="n">
        <v>46251</v>
      </c>
      <c r="E6" s="7" t="n">
        <v>170.81</v>
      </c>
      <c r="F6" s="7" t="n">
        <v>211.06</v>
      </c>
      <c r="G6" s="7">
        <f>E6-F6</f>
        <v/>
      </c>
      <c r="H6" s="5">
        <f>IF(F6=0,"",(E6-F6)/F6)</f>
        <v/>
      </c>
      <c r="I6" s="7" t="n">
        <v>337.65</v>
      </c>
      <c r="J6" s="6" t="n">
        <v>6</v>
      </c>
      <c r="K6" s="6" t="n">
        <v>6</v>
      </c>
      <c r="L6" s="5">
        <f>IF(K6=0,"",(J6-K6)/K6)</f>
        <v/>
      </c>
      <c r="M6" s="6" t="n">
        <v>19</v>
      </c>
      <c r="N6" s="6" t="n">
        <v>8</v>
      </c>
      <c r="O6" s="7">
        <f>IF(J6=0,"",E6/J6)</f>
        <v/>
      </c>
      <c r="P6" s="6" t="n">
        <v>670</v>
      </c>
      <c r="Q6" s="6" t="n">
        <v>581</v>
      </c>
      <c r="R6" s="7" t="n">
        <v>128.94</v>
      </c>
      <c r="S6" s="2">
        <f>IF(AND('Engine Inputs'!E6=0,R6=0),"",IF('Engine Inputs'!E6=0,"📈 Up",IF((R6-'Engine Inputs'!E6)/'Engine Inputs'!E6&gt;Config!$B$2,"📈 Up",IF((R6-'Engine Inputs'!E6)/'Engine Inputs'!E6&lt;-Config!$B$2,"📉 Down","➡ Stable"))))</f>
        <v/>
      </c>
      <c r="T6" s="6" t="n">
        <v>89</v>
      </c>
      <c r="U6" s="7" t="n">
        <v>14.99</v>
      </c>
      <c r="V6" s="2">
        <f>IF(AND('Engine Inputs'!D6=0,U6=0),"",IF('Engine Inputs'!D6=0,"📈 Up",IF((U6-'Engine Inputs'!D6)/'Engine Inputs'!D6&gt;Config!$B$2,"📈 Up",IF((U6-'Engine Inputs'!D6)/'Engine Inputs'!D6&lt;-Config!$B$2,"📉 Down","➡ Stable"))))</f>
        <v/>
      </c>
      <c r="W6" s="2">
        <f>IF(AND(F6=0,E6=0),"",IF(F6=0,"📈 Up",IF((E6-F6)/F6&gt;Config!$B$2,"📈 Up",IF((E6-F6)/F6&lt;-Config!$B$2,"📉 Down","➡ Stable"))))</f>
        <v/>
      </c>
      <c r="X6" s="2" t="inlineStr">
        <is>
          <t>Jarsini</t>
        </is>
      </c>
    </row>
    <row r="7">
      <c r="A7" s="2" t="inlineStr">
        <is>
          <t>LEDSone UK</t>
        </is>
      </c>
      <c r="B7" s="2" t="inlineStr">
        <is>
          <t>Ireland</t>
        </is>
      </c>
      <c r="C7" s="2" t="inlineStr">
        <is>
          <t>EUR</t>
        </is>
      </c>
      <c r="D7" s="3" t="n">
        <v>46251</v>
      </c>
      <c r="E7" s="7" t="n">
        <v>0</v>
      </c>
      <c r="F7" s="7" t="n">
        <v>0</v>
      </c>
      <c r="G7" s="7">
        <f>E7-F7</f>
        <v/>
      </c>
      <c r="H7" s="5">
        <f>IF(F7=0,"",(E7-F7)/F7)</f>
        <v/>
      </c>
      <c r="I7" s="7" t="n">
        <v>0</v>
      </c>
      <c r="J7" s="6" t="n">
        <v>0</v>
      </c>
      <c r="K7" s="6" t="n">
        <v>0</v>
      </c>
      <c r="L7" s="5">
        <f>IF(K7=0,"",(J7-K7)/K7)</f>
        <v/>
      </c>
      <c r="M7" s="6" t="n">
        <v>0</v>
      </c>
      <c r="N7" s="6" t="n">
        <v>0</v>
      </c>
      <c r="O7" s="7">
        <f>IF(J7=0,"",E7/J7)</f>
        <v/>
      </c>
      <c r="P7" s="6" t="n">
        <v>634</v>
      </c>
      <c r="Q7" s="6" t="n">
        <v>634</v>
      </c>
      <c r="R7" s="7" t="n">
        <v>0</v>
      </c>
      <c r="S7" s="2">
        <f>IF(AND('Engine Inputs'!E7=0,R7=0),"",IF('Engine Inputs'!E7=0,"📈 Up",IF((R7-'Engine Inputs'!E7)/'Engine Inputs'!E7&gt;Config!$B$2,"📈 Up",IF((R7-'Engine Inputs'!E7)/'Engine Inputs'!E7&lt;-Config!$B$2,"📉 Down","➡ Stable"))))</f>
        <v/>
      </c>
      <c r="T7" s="6" t="n">
        <v>0</v>
      </c>
      <c r="U7" s="7" t="n">
        <v>0</v>
      </c>
      <c r="V7" s="2">
        <f>IF(AND('Engine Inputs'!D7=0,U7=0),"",IF('Engine Inputs'!D7=0,"📈 Up",IF((U7-'Engine Inputs'!D7)/'Engine Inputs'!D7&gt;Config!$B$2,"📈 Up",IF((U7-'Engine Inputs'!D7)/'Engine Inputs'!D7&lt;-Config!$B$2,"📉 Down","➡ Stable"))))</f>
        <v/>
      </c>
      <c r="W7" s="2">
        <f>IF(AND(F7=0,E7=0),"",IF(F7=0,"📈 Up",IF((E7-F7)/F7&gt;Config!$B$2,"📈 Up",IF((E7-F7)/F7&lt;-Config!$B$2,"📉 Down","➡ Stable"))))</f>
        <v/>
      </c>
      <c r="X7" s="2" t="inlineStr">
        <is>
          <t>Sharmilan</t>
        </is>
      </c>
    </row>
    <row r="8">
      <c r="A8" s="2" t="inlineStr">
        <is>
          <t>LEDSone UK</t>
        </is>
      </c>
      <c r="B8" s="2" t="inlineStr">
        <is>
          <t>Austria</t>
        </is>
      </c>
      <c r="C8" s="2" t="inlineStr">
        <is>
          <t>EUR</t>
        </is>
      </c>
      <c r="D8" s="3" t="n">
        <v>46251</v>
      </c>
      <c r="E8" s="7" t="n">
        <v>0</v>
      </c>
      <c r="F8" s="7" t="n">
        <v>0</v>
      </c>
      <c r="G8" s="7">
        <f>E8-F8</f>
        <v/>
      </c>
      <c r="H8" s="5">
        <f>IF(F8=0,"",(E8-F8)/F8)</f>
        <v/>
      </c>
      <c r="I8" s="7" t="n">
        <v>0</v>
      </c>
      <c r="J8" s="6" t="n">
        <v>0</v>
      </c>
      <c r="K8" s="6" t="n">
        <v>0</v>
      </c>
      <c r="L8" s="5">
        <f>IF(K8=0,"",(J8-K8)/K8)</f>
        <v/>
      </c>
      <c r="M8" s="6" t="n">
        <v>0</v>
      </c>
      <c r="N8" s="6" t="n">
        <v>0</v>
      </c>
      <c r="O8" s="7">
        <f>IF(J8=0,"",E8/J8)</f>
        <v/>
      </c>
      <c r="P8" s="6" t="n">
        <v>594</v>
      </c>
      <c r="Q8" s="6" t="n">
        <v>594</v>
      </c>
      <c r="R8" s="7" t="n">
        <v>0</v>
      </c>
      <c r="S8" s="2">
        <f>IF(AND('Engine Inputs'!E8=0,R8=0),"",IF('Engine Inputs'!E8=0,"📈 Up",IF((R8-'Engine Inputs'!E8)/'Engine Inputs'!E8&gt;Config!$B$2,"📈 Up",IF((R8-'Engine Inputs'!E8)/'Engine Inputs'!E8&lt;-Config!$B$2,"📉 Down","➡ Stable"))))</f>
        <v/>
      </c>
      <c r="T8" s="6" t="n">
        <v>0</v>
      </c>
      <c r="U8" s="7" t="n">
        <v>0</v>
      </c>
      <c r="V8" s="2">
        <f>IF(AND('Engine Inputs'!D8=0,U8=0),"",IF('Engine Inputs'!D8=0,"📈 Up",IF((U8-'Engine Inputs'!D8)/'Engine Inputs'!D8&gt;Config!$B$2,"📈 Up",IF((U8-'Engine Inputs'!D8)/'Engine Inputs'!D8&lt;-Config!$B$2,"📉 Down","➡ Stable"))))</f>
        <v/>
      </c>
      <c r="W8" s="2">
        <f>IF(AND(F8=0,E8=0),"",IF(F8=0,"📈 Up",IF((E8-F8)/F8&gt;Config!$B$2,"📈 Up",IF((E8-F8)/F8&lt;-Config!$B$2,"📉 Down","➡ Stable"))))</f>
        <v/>
      </c>
      <c r="X8" s="2" t="inlineStr">
        <is>
          <t>Sharmilan</t>
        </is>
      </c>
    </row>
    <row r="9">
      <c r="A9" s="2" t="inlineStr">
        <is>
          <t>Coventry Lights</t>
        </is>
      </c>
      <c r="B9" s="2" t="inlineStr">
        <is>
          <t>UK</t>
        </is>
      </c>
      <c r="C9" s="2" t="inlineStr">
        <is>
          <t>GBP</t>
        </is>
      </c>
      <c r="D9" s="3" t="n">
        <v>46251</v>
      </c>
      <c r="E9" s="4" t="n">
        <v>223.61</v>
      </c>
      <c r="F9" s="4" t="n">
        <v>164.5</v>
      </c>
      <c r="G9" s="4">
        <f>E9-F9</f>
        <v/>
      </c>
      <c r="H9" s="5">
        <f>IF(F9=0,"",(E9-F9)/F9)</f>
        <v/>
      </c>
      <c r="I9" s="4" t="n">
        <v>162.52</v>
      </c>
      <c r="J9" s="6" t="n">
        <v>16</v>
      </c>
      <c r="K9" s="6" t="n">
        <v>7</v>
      </c>
      <c r="L9" s="5">
        <f>IF(K9=0,"",(J9-K9)/K9)</f>
        <v/>
      </c>
      <c r="M9" s="6" t="n">
        <v>15</v>
      </c>
      <c r="N9" s="6" t="n">
        <v>19</v>
      </c>
      <c r="O9" s="4">
        <f>IF(J9=0,"",E9/J9)</f>
        <v/>
      </c>
      <c r="P9" s="6" t="n">
        <v>579</v>
      </c>
      <c r="Q9" s="6" t="n">
        <v>579</v>
      </c>
      <c r="R9" s="4" t="n">
        <v>223.61</v>
      </c>
      <c r="S9" s="2">
        <f>IF(AND('Engine Inputs'!E9=0,R9=0),"",IF('Engine Inputs'!E9=0,"📈 Up",IF((R9-'Engine Inputs'!E9)/'Engine Inputs'!E9&gt;Config!$B$2,"📈 Up",IF((R9-'Engine Inputs'!E9)/'Engine Inputs'!E9&lt;-Config!$B$2,"📉 Down","➡ Stable"))))</f>
        <v/>
      </c>
      <c r="T9" s="6" t="n">
        <v>0</v>
      </c>
      <c r="U9" s="4" t="n">
        <v>0</v>
      </c>
      <c r="V9" s="2">
        <f>IF(AND('Engine Inputs'!D9=0,U9=0),"",IF('Engine Inputs'!D9=0,"📈 Up",IF((U9-'Engine Inputs'!D9)/'Engine Inputs'!D9&gt;Config!$B$2,"📈 Up",IF((U9-'Engine Inputs'!D9)/'Engine Inputs'!D9&lt;-Config!$B$2,"📉 Down","➡ Stable"))))</f>
        <v/>
      </c>
      <c r="W9" s="2">
        <f>IF(AND(F9=0,E9=0),"",IF(F9=0,"📈 Up",IF((E9-F9)/F9&gt;Config!$B$2,"📈 Up",IF((E9-F9)/F9&lt;-Config!$B$2,"📉 Down","➡ Stable"))))</f>
        <v/>
      </c>
      <c r="X9" s="2" t="inlineStr">
        <is>
          <t>Genga</t>
        </is>
      </c>
    </row>
    <row r="10">
      <c r="A10" s="2" t="inlineStr">
        <is>
          <t>Huetten Lampen DE</t>
        </is>
      </c>
      <c r="B10" s="2" t="inlineStr">
        <is>
          <t>Germany</t>
        </is>
      </c>
      <c r="C10" s="2" t="inlineStr">
        <is>
          <t>EUR</t>
        </is>
      </c>
      <c r="D10" s="3" t="n">
        <v>46251</v>
      </c>
      <c r="E10" s="7" t="n">
        <v>288.24</v>
      </c>
      <c r="F10" s="7" t="n">
        <v>323.05</v>
      </c>
      <c r="G10" s="7">
        <f>E10-F10</f>
        <v/>
      </c>
      <c r="H10" s="5">
        <f>IF(F10=0,"",(E10-F10)/F10)</f>
        <v/>
      </c>
      <c r="I10" s="7" t="n">
        <v>240.18</v>
      </c>
      <c r="J10" s="6" t="n">
        <v>11</v>
      </c>
      <c r="K10" s="6" t="n">
        <v>13</v>
      </c>
      <c r="L10" s="5">
        <f>IF(K10=0,"",(J10-K10)/K10)</f>
        <v/>
      </c>
      <c r="M10" s="6" t="n">
        <v>13</v>
      </c>
      <c r="N10" s="6" t="n">
        <v>21</v>
      </c>
      <c r="O10" s="7">
        <f>IF(J10=0,"",E10/J10)</f>
        <v/>
      </c>
      <c r="P10" s="6" t="n">
        <v>560</v>
      </c>
      <c r="Q10" s="6" t="n">
        <v>467</v>
      </c>
      <c r="R10" s="7" t="n">
        <v>207.36</v>
      </c>
      <c r="S10" s="2">
        <f>IF(AND('Engine Inputs'!E10=0,R10=0),"",IF('Engine Inputs'!E10=0,"📈 Up",IF((R10-'Engine Inputs'!E10)/'Engine Inputs'!E10&gt;Config!$B$2,"📈 Up",IF((R10-'Engine Inputs'!E10)/'Engine Inputs'!E10&lt;-Config!$B$2,"📉 Down","➡ Stable"))))</f>
        <v/>
      </c>
      <c r="T10" s="6" t="n">
        <v>93</v>
      </c>
      <c r="U10" s="7" t="n">
        <v>37.27</v>
      </c>
      <c r="V10" s="2">
        <f>IF(AND('Engine Inputs'!D10=0,U10=0),"",IF('Engine Inputs'!D10=0,"📈 Up",IF((U10-'Engine Inputs'!D10)/'Engine Inputs'!D10&gt;Config!$B$2,"📈 Up",IF((U10-'Engine Inputs'!D10)/'Engine Inputs'!D10&lt;-Config!$B$2,"📉 Down","➡ Stable"))))</f>
        <v/>
      </c>
      <c r="W10" s="2">
        <f>IF(AND(F10=0,E10=0),"",IF(F10=0,"📈 Up",IF((E10-F10)/F10&gt;Config!$B$2,"📈 Up",IF((E10-F10)/F10&lt;-Config!$B$2,"📉 Down","➡ Stable"))))</f>
        <v/>
      </c>
      <c r="X10" s="2" t="inlineStr">
        <is>
          <t>Jarsini</t>
        </is>
      </c>
    </row>
    <row r="11">
      <c r="A11" s="2" t="inlineStr">
        <is>
          <t>DC Transformer</t>
        </is>
      </c>
      <c r="B11" s="2" t="inlineStr">
        <is>
          <t>UK</t>
        </is>
      </c>
      <c r="C11" s="2" t="inlineStr">
        <is>
          <t>GBP</t>
        </is>
      </c>
      <c r="D11" s="3" t="n">
        <v>46251</v>
      </c>
      <c r="E11" s="4" t="n">
        <v>111.89</v>
      </c>
      <c r="F11" s="4" t="n">
        <v>78.98999999999999</v>
      </c>
      <c r="G11" s="4">
        <f>E11-F11</f>
        <v/>
      </c>
      <c r="H11" s="5">
        <f>IF(F11=0,"",(E11-F11)/F11)</f>
        <v/>
      </c>
      <c r="I11" s="4" t="n">
        <v>106.52</v>
      </c>
      <c r="J11" s="6" t="n">
        <v>8</v>
      </c>
      <c r="K11" s="6" t="n">
        <v>7</v>
      </c>
      <c r="L11" s="5">
        <f>IF(K11=0,"",(J11-K11)/K11)</f>
        <v/>
      </c>
      <c r="M11" s="6" t="n">
        <v>15</v>
      </c>
      <c r="N11" s="6" t="n">
        <v>14</v>
      </c>
      <c r="O11" s="4">
        <f>IF(J11=0,"",E11/J11)</f>
        <v/>
      </c>
      <c r="P11" s="6" t="n">
        <v>509</v>
      </c>
      <c r="Q11" s="6" t="n">
        <v>509</v>
      </c>
      <c r="R11" s="4" t="n">
        <v>115.44</v>
      </c>
      <c r="S11" s="2">
        <f>IF(AND('Engine Inputs'!E11=0,R11=0),"",IF('Engine Inputs'!E11=0,"📈 Up",IF((R11-'Engine Inputs'!E11)/'Engine Inputs'!E11&gt;Config!$B$2,"📈 Up",IF((R11-'Engine Inputs'!E11)/'Engine Inputs'!E11&lt;-Config!$B$2,"📉 Down","➡ Stable"))))</f>
        <v/>
      </c>
      <c r="T11" s="6" t="n">
        <v>0</v>
      </c>
      <c r="U11" s="4" t="n">
        <v>0</v>
      </c>
      <c r="V11" s="2">
        <f>IF(AND('Engine Inputs'!D11=0,U11=0),"",IF('Engine Inputs'!D11=0,"📈 Up",IF((U11-'Engine Inputs'!D11)/'Engine Inputs'!D11&gt;Config!$B$2,"📈 Up",IF((U11-'Engine Inputs'!D11)/'Engine Inputs'!D11&lt;-Config!$B$2,"📉 Down","➡ Stable"))))</f>
        <v/>
      </c>
      <c r="W11" s="2">
        <f>IF(AND(F11=0,E11=0),"",IF(F11=0,"📈 Up",IF((E11-F11)/F11&gt;Config!$B$2,"📈 Up",IF((E11-F11)/F11&lt;-Config!$B$2,"📉 Down","➡ Stable"))))</f>
        <v/>
      </c>
      <c r="X11" s="8" t="inlineStr">
        <is>
          <t>— not assigned</t>
        </is>
      </c>
    </row>
    <row r="12">
      <c r="A12" s="2" t="inlineStr">
        <is>
          <t>ElectricalSone UK</t>
        </is>
      </c>
      <c r="B12" s="2" t="inlineStr">
        <is>
          <t>Germany</t>
        </is>
      </c>
      <c r="C12" s="2" t="inlineStr">
        <is>
          <t>EUR</t>
        </is>
      </c>
      <c r="D12" s="3" t="n">
        <v>46251</v>
      </c>
      <c r="E12" s="7" t="n">
        <v>14.14</v>
      </c>
      <c r="F12" s="7" t="n">
        <v>60.28</v>
      </c>
      <c r="G12" s="7">
        <f>E12-F12</f>
        <v/>
      </c>
      <c r="H12" s="5">
        <f>IF(F12=0,"",(E12-F12)/F12)</f>
        <v/>
      </c>
      <c r="I12" s="7" t="n">
        <v>208.28</v>
      </c>
      <c r="J12" s="6" t="n">
        <v>1</v>
      </c>
      <c r="K12" s="6" t="n">
        <v>4</v>
      </c>
      <c r="L12" s="5">
        <f>IF(K12=0,"",(J12-K12)/K12)</f>
        <v/>
      </c>
      <c r="M12" s="6" t="n">
        <v>10</v>
      </c>
      <c r="N12" s="6" t="n">
        <v>1</v>
      </c>
      <c r="O12" s="7">
        <f>IF(J12=0,"",E12/J12)</f>
        <v/>
      </c>
      <c r="P12" s="6" t="n">
        <v>491</v>
      </c>
      <c r="Q12" s="6" t="n">
        <v>454</v>
      </c>
      <c r="R12" s="7" t="n">
        <v>7.47</v>
      </c>
      <c r="S12" s="2">
        <f>IF(AND('Engine Inputs'!E12=0,R12=0),"",IF('Engine Inputs'!E12=0,"📈 Up",IF((R12-'Engine Inputs'!E12)/'Engine Inputs'!E12&gt;Config!$B$2,"📈 Up",IF((R12-'Engine Inputs'!E12)/'Engine Inputs'!E12&lt;-Config!$B$2,"📉 Down","➡ Stable"))))</f>
        <v/>
      </c>
      <c r="T12" s="6" t="n">
        <v>37</v>
      </c>
      <c r="U12" s="7" t="n">
        <v>0</v>
      </c>
      <c r="V12" s="2">
        <f>IF(AND('Engine Inputs'!D12=0,U12=0),"",IF('Engine Inputs'!D12=0,"📈 Up",IF((U12-'Engine Inputs'!D12)/'Engine Inputs'!D12&gt;Config!$B$2,"📈 Up",IF((U12-'Engine Inputs'!D12)/'Engine Inputs'!D12&lt;-Config!$B$2,"📉 Down","➡ Stable"))))</f>
        <v/>
      </c>
      <c r="W12" s="2">
        <f>IF(AND(F12=0,E12=0),"",IF(F12=0,"📈 Up",IF((E12-F12)/F12&gt;Config!$B$2,"📈 Up",IF((E12-F12)/F12&lt;-Config!$B$2,"📉 Down","➡ Stable"))))</f>
        <v/>
      </c>
      <c r="X12" s="2" t="inlineStr">
        <is>
          <t>Kobiga</t>
        </is>
      </c>
    </row>
    <row r="13">
      <c r="A13" s="2" t="inlineStr">
        <is>
          <t>Vintage Interior</t>
        </is>
      </c>
      <c r="B13" s="2" t="inlineStr">
        <is>
          <t>UK</t>
        </is>
      </c>
      <c r="C13" s="2" t="inlineStr">
        <is>
          <t>GBP</t>
        </is>
      </c>
      <c r="D13" s="3" t="n">
        <v>46251</v>
      </c>
      <c r="E13" s="4" t="n">
        <v>6.99</v>
      </c>
      <c r="F13" s="4" t="n">
        <v>102.12</v>
      </c>
      <c r="G13" s="4">
        <f>E13-F13</f>
        <v/>
      </c>
      <c r="H13" s="5">
        <f>IF(F13=0,"",(E13-F13)/F13)</f>
        <v/>
      </c>
      <c r="I13" s="4" t="n">
        <v>78.14</v>
      </c>
      <c r="J13" s="6" t="n">
        <v>1</v>
      </c>
      <c r="K13" s="6" t="n">
        <v>9</v>
      </c>
      <c r="L13" s="5">
        <f>IF(K13=0,"",(J13-K13)/K13)</f>
        <v/>
      </c>
      <c r="M13" s="6" t="n">
        <v>7</v>
      </c>
      <c r="N13" s="6" t="n">
        <v>1</v>
      </c>
      <c r="O13" s="4">
        <f>IF(J13=0,"",E13/J13)</f>
        <v/>
      </c>
      <c r="P13" s="6" t="n">
        <v>487</v>
      </c>
      <c r="Q13" s="6" t="n">
        <v>487</v>
      </c>
      <c r="R13" s="4" t="n">
        <v>6.99</v>
      </c>
      <c r="S13" s="2">
        <f>IF(AND('Engine Inputs'!E13=0,R13=0),"",IF('Engine Inputs'!E13=0,"📈 Up",IF((R13-'Engine Inputs'!E13)/'Engine Inputs'!E13&gt;Config!$B$2,"📈 Up",IF((R13-'Engine Inputs'!E13)/'Engine Inputs'!E13&lt;-Config!$B$2,"📉 Down","➡ Stable"))))</f>
        <v/>
      </c>
      <c r="T13" s="6" t="n">
        <v>0</v>
      </c>
      <c r="U13" s="4" t="n">
        <v>0</v>
      </c>
      <c r="V13" s="2">
        <f>IF(AND('Engine Inputs'!D13=0,U13=0),"",IF('Engine Inputs'!D13=0,"📈 Up",IF((U13-'Engine Inputs'!D13)/'Engine Inputs'!D13&gt;Config!$B$2,"📈 Up",IF((U13-'Engine Inputs'!D13)/'Engine Inputs'!D13&lt;-Config!$B$2,"📉 Down","➡ Stable"))))</f>
        <v/>
      </c>
      <c r="W13" s="2">
        <f>IF(AND(F13=0,E13=0),"",IF(F13=0,"📈 Up",IF((E13-F13)/F13&gt;Config!$B$2,"📈 Up",IF((E13-F13)/F13&lt;-Config!$B$2,"📉 Down","➡ Stable"))))</f>
        <v/>
      </c>
      <c r="X13" s="8" t="inlineStr">
        <is>
          <t>— not assigned</t>
        </is>
      </c>
    </row>
    <row r="14">
      <c r="A14" s="2" t="inlineStr">
        <is>
          <t>Retro LED</t>
        </is>
      </c>
      <c r="B14" s="2" t="inlineStr">
        <is>
          <t>UK</t>
        </is>
      </c>
      <c r="C14" s="2" t="inlineStr">
        <is>
          <t>GBP</t>
        </is>
      </c>
      <c r="D14" s="3" t="n">
        <v>46251</v>
      </c>
      <c r="E14" s="4" t="n">
        <v>90.76000000000001</v>
      </c>
      <c r="F14" s="4" t="n">
        <v>14.7</v>
      </c>
      <c r="G14" s="4">
        <f>E14-F14</f>
        <v/>
      </c>
      <c r="H14" s="5">
        <f>IF(F14=0,"",(E14-F14)/F14)</f>
        <v/>
      </c>
      <c r="I14" s="4" t="n">
        <v>32.4</v>
      </c>
      <c r="J14" s="6" t="n">
        <v>3</v>
      </c>
      <c r="K14" s="6" t="n">
        <v>1</v>
      </c>
      <c r="L14" s="5">
        <f>IF(K14=0,"",(J14-K14)/K14)</f>
        <v/>
      </c>
      <c r="M14" s="6" t="n">
        <v>3</v>
      </c>
      <c r="N14" s="6" t="n">
        <v>5</v>
      </c>
      <c r="O14" s="4">
        <f>IF(J14=0,"",E14/J14)</f>
        <v/>
      </c>
      <c r="P14" s="6" t="n">
        <v>435</v>
      </c>
      <c r="Q14" s="6" t="n">
        <v>435</v>
      </c>
      <c r="R14" s="4" t="n">
        <v>90.76000000000001</v>
      </c>
      <c r="S14" s="2">
        <f>IF(AND('Engine Inputs'!E14=0,R14=0),"",IF('Engine Inputs'!E14=0,"📈 Up",IF((R14-'Engine Inputs'!E14)/'Engine Inputs'!E14&gt;Config!$B$2,"📈 Up",IF((R14-'Engine Inputs'!E14)/'Engine Inputs'!E14&lt;-Config!$B$2,"📉 Down","➡ Stable"))))</f>
        <v/>
      </c>
      <c r="T14" s="6" t="n">
        <v>0</v>
      </c>
      <c r="U14" s="4" t="n">
        <v>0</v>
      </c>
      <c r="V14" s="2">
        <f>IF(AND('Engine Inputs'!D14=0,U14=0),"",IF('Engine Inputs'!D14=0,"📈 Up",IF((U14-'Engine Inputs'!D14)/'Engine Inputs'!D14&gt;Config!$B$2,"📈 Up",IF((U14-'Engine Inputs'!D14)/'Engine Inputs'!D14&lt;-Config!$B$2,"📉 Down","➡ Stable"))))</f>
        <v/>
      </c>
      <c r="W14" s="2">
        <f>IF(AND(F14=0,E14=0),"",IF(F14=0,"📈 Up",IF((E14-F14)/F14&gt;Config!$B$2,"📈 Up",IF((E14-F14)/F14&lt;-Config!$B$2,"📉 Down","➡ Stable"))))</f>
        <v/>
      </c>
      <c r="X14" s="8" t="inlineStr">
        <is>
          <t>— not assigned</t>
        </is>
      </c>
    </row>
    <row r="15">
      <c r="A15" s="2" t="inlineStr">
        <is>
          <t>LEDSone UK</t>
        </is>
      </c>
      <c r="B15" s="2" t="inlineStr">
        <is>
          <t>France</t>
        </is>
      </c>
      <c r="C15" s="2" t="inlineStr">
        <is>
          <t>EUR</t>
        </is>
      </c>
      <c r="D15" s="3" t="n">
        <v>46251</v>
      </c>
      <c r="E15" s="7" t="n">
        <v>0</v>
      </c>
      <c r="F15" s="7" t="n">
        <v>26.73</v>
      </c>
      <c r="G15" s="7">
        <f>E15-F15</f>
        <v/>
      </c>
      <c r="H15" s="5">
        <f>IF(F15=0,"",(E15-F15)/F15)</f>
        <v/>
      </c>
      <c r="I15" s="7" t="n">
        <v>0</v>
      </c>
      <c r="J15" s="6" t="n">
        <v>0</v>
      </c>
      <c r="K15" s="6" t="n">
        <v>1</v>
      </c>
      <c r="L15" s="5">
        <f>IF(K15=0,"",(J15-K15)/K15)</f>
        <v/>
      </c>
      <c r="M15" s="6" t="n">
        <v>0</v>
      </c>
      <c r="N15" s="6" t="n">
        <v>0</v>
      </c>
      <c r="O15" s="7">
        <f>IF(J15=0,"",E15/J15)</f>
        <v/>
      </c>
      <c r="P15" s="6" t="n">
        <v>431</v>
      </c>
      <c r="Q15" s="6" t="n">
        <v>431</v>
      </c>
      <c r="R15" s="7" t="n">
        <v>0</v>
      </c>
      <c r="S15" s="2">
        <f>IF(AND('Engine Inputs'!E15=0,R15=0),"",IF('Engine Inputs'!E15=0,"📈 Up",IF((R15-'Engine Inputs'!E15)/'Engine Inputs'!E15&gt;Config!$B$2,"📈 Up",IF((R15-'Engine Inputs'!E15)/'Engine Inputs'!E15&lt;-Config!$B$2,"📉 Down","➡ Stable"))))</f>
        <v/>
      </c>
      <c r="T15" s="6" t="n">
        <v>0</v>
      </c>
      <c r="U15" s="7" t="n">
        <v>0</v>
      </c>
      <c r="V15" s="2">
        <f>IF(AND('Engine Inputs'!D15=0,U15=0),"",IF('Engine Inputs'!D15=0,"📈 Up",IF((U15-'Engine Inputs'!D15)/'Engine Inputs'!D15&gt;Config!$B$2,"📈 Up",IF((U15-'Engine Inputs'!D15)/'Engine Inputs'!D15&lt;-Config!$B$2,"📉 Down","➡ Stable"))))</f>
        <v/>
      </c>
      <c r="W15" s="2">
        <f>IF(AND(F15=0,E15=0),"",IF(F15=0,"📈 Up",IF((E15-F15)/F15&gt;Config!$B$2,"📈 Up",IF((E15-F15)/F15&lt;-Config!$B$2,"📉 Down","➡ Stable"))))</f>
        <v/>
      </c>
      <c r="X15" s="2" t="inlineStr">
        <is>
          <t>Sharmilan</t>
        </is>
      </c>
    </row>
    <row r="16">
      <c r="A16" s="2" t="inlineStr">
        <is>
          <t>LEDSone UK</t>
        </is>
      </c>
      <c r="B16" s="2" t="inlineStr">
        <is>
          <t>US</t>
        </is>
      </c>
      <c r="C16" s="2" t="inlineStr">
        <is>
          <t>USD</t>
        </is>
      </c>
      <c r="D16" s="3" t="n">
        <v>46251</v>
      </c>
      <c r="E16" s="9" t="n">
        <v>0</v>
      </c>
      <c r="F16" s="9" t="n">
        <v>0</v>
      </c>
      <c r="G16" s="9">
        <f>E16-F16</f>
        <v/>
      </c>
      <c r="H16" s="5">
        <f>IF(F16=0,"",(E16-F16)/F16)</f>
        <v/>
      </c>
      <c r="I16" s="9" t="n">
        <v>0</v>
      </c>
      <c r="J16" s="6" t="n">
        <v>0</v>
      </c>
      <c r="K16" s="6" t="n">
        <v>0</v>
      </c>
      <c r="L16" s="5">
        <f>IF(K16=0,"",(J16-K16)/K16)</f>
        <v/>
      </c>
      <c r="M16" s="6" t="n">
        <v>0</v>
      </c>
      <c r="N16" s="6" t="n">
        <v>0</v>
      </c>
      <c r="O16" s="9">
        <f>IF(J16=0,"",E16/J16)</f>
        <v/>
      </c>
      <c r="P16" s="6" t="n">
        <v>394</v>
      </c>
      <c r="Q16" s="6" t="n">
        <v>356</v>
      </c>
      <c r="R16" s="9" t="n">
        <v>0</v>
      </c>
      <c r="S16" s="2">
        <f>IF(AND('Engine Inputs'!E16=0,R16=0),"",IF('Engine Inputs'!E16=0,"📈 Up",IF((R16-'Engine Inputs'!E16)/'Engine Inputs'!E16&gt;Config!$B$2,"📈 Up",IF((R16-'Engine Inputs'!E16)/'Engine Inputs'!E16&lt;-Config!$B$2,"📉 Down","➡ Stable"))))</f>
        <v/>
      </c>
      <c r="T16" s="6" t="n">
        <v>38</v>
      </c>
      <c r="U16" s="9" t="n">
        <v>0</v>
      </c>
      <c r="V16" s="2">
        <f>IF(AND('Engine Inputs'!D16=0,U16=0),"",IF('Engine Inputs'!D16=0,"📈 Up",IF((U16-'Engine Inputs'!D16)/'Engine Inputs'!D16&gt;Config!$B$2,"📈 Up",IF((U16-'Engine Inputs'!D16)/'Engine Inputs'!D16&lt;-Config!$B$2,"📉 Down","➡ Stable"))))</f>
        <v/>
      </c>
      <c r="W16" s="2">
        <f>IF(AND(F16=0,E16=0),"",IF(F16=0,"📈 Up",IF((E16-F16)/F16&gt;Config!$B$2,"📈 Up",IF((E16-F16)/F16&lt;-Config!$B$2,"📉 Down","➡ Stable"))))</f>
        <v/>
      </c>
      <c r="X16" s="2" t="inlineStr">
        <is>
          <t>Sharmilan</t>
        </is>
      </c>
    </row>
    <row r="17">
      <c r="A17" s="2" t="inlineStr">
        <is>
          <t>ElectricalSone UK</t>
        </is>
      </c>
      <c r="B17" s="2" t="inlineStr">
        <is>
          <t>US</t>
        </is>
      </c>
      <c r="C17" s="2" t="inlineStr">
        <is>
          <t>USD</t>
        </is>
      </c>
      <c r="D17" s="3" t="n">
        <v>46251</v>
      </c>
      <c r="E17" s="9" t="n">
        <v>28.47</v>
      </c>
      <c r="F17" s="9" t="n">
        <v>15.19</v>
      </c>
      <c r="G17" s="9">
        <f>E17-F17</f>
        <v/>
      </c>
      <c r="H17" s="5">
        <f>IF(F17=0,"",(E17-F17)/F17)</f>
        <v/>
      </c>
      <c r="I17" s="9" t="n">
        <v>0</v>
      </c>
      <c r="J17" s="6" t="n">
        <v>1</v>
      </c>
      <c r="K17" s="6" t="n">
        <v>1</v>
      </c>
      <c r="L17" s="5">
        <f>IF(K17=0,"",(J17-K17)/K17)</f>
        <v/>
      </c>
      <c r="M17" s="6" t="n">
        <v>0</v>
      </c>
      <c r="N17" s="6" t="n">
        <v>1</v>
      </c>
      <c r="O17" s="9">
        <f>IF(J17=0,"",E17/J17)</f>
        <v/>
      </c>
      <c r="P17" s="6" t="n">
        <v>380</v>
      </c>
      <c r="Q17" s="6" t="n">
        <v>377</v>
      </c>
      <c r="R17" s="9" t="n">
        <v>26.99</v>
      </c>
      <c r="S17" s="2">
        <f>IF(AND('Engine Inputs'!E17=0,R17=0),"",IF('Engine Inputs'!E17=0,"📈 Up",IF((R17-'Engine Inputs'!E17)/'Engine Inputs'!E17&gt;Config!$B$2,"📈 Up",IF((R17-'Engine Inputs'!E17)/'Engine Inputs'!E17&lt;-Config!$B$2,"📉 Down","➡ Stable"))))</f>
        <v/>
      </c>
      <c r="T17" s="6" t="n">
        <v>3</v>
      </c>
      <c r="U17" s="9" t="n">
        <v>0</v>
      </c>
      <c r="V17" s="2">
        <f>IF(AND('Engine Inputs'!D17=0,U17=0),"",IF('Engine Inputs'!D17=0,"📈 Up",IF((U17-'Engine Inputs'!D17)/'Engine Inputs'!D17&gt;Config!$B$2,"📈 Up",IF((U17-'Engine Inputs'!D17)/'Engine Inputs'!D17&lt;-Config!$B$2,"📉 Down","➡ Stable"))))</f>
        <v/>
      </c>
      <c r="W17" s="2">
        <f>IF(AND(F17=0,E17=0),"",IF(F17=0,"📈 Up",IF((E17-F17)/F17&gt;Config!$B$2,"📈 Up",IF((E17-F17)/F17&lt;-Config!$B$2,"📉 Down","➡ Stable"))))</f>
        <v/>
      </c>
      <c r="X17" s="2" t="inlineStr">
        <is>
          <t>Kobiga</t>
        </is>
      </c>
    </row>
    <row r="18">
      <c r="A18" s="2" t="inlineStr">
        <is>
          <t>Neighbour Market</t>
        </is>
      </c>
      <c r="B18" s="2" t="inlineStr">
        <is>
          <t>US</t>
        </is>
      </c>
      <c r="C18" s="2" t="inlineStr">
        <is>
          <t>USD</t>
        </is>
      </c>
      <c r="D18" s="3" t="n">
        <v>46251</v>
      </c>
      <c r="E18" s="9" t="n">
        <v>23.44</v>
      </c>
      <c r="F18" s="9" t="n">
        <v>145.04</v>
      </c>
      <c r="G18" s="9">
        <f>E18-F18</f>
        <v/>
      </c>
      <c r="H18" s="5">
        <f>IF(F18=0,"",(E18-F18)/F18)</f>
        <v/>
      </c>
      <c r="I18" s="9" t="n">
        <v>0</v>
      </c>
      <c r="J18" s="6" t="n">
        <v>1</v>
      </c>
      <c r="K18" s="6" t="n">
        <v>2</v>
      </c>
      <c r="L18" s="5">
        <f>IF(K18=0,"",(J18-K18)/K18)</f>
        <v/>
      </c>
      <c r="M18" s="6" t="n">
        <v>0</v>
      </c>
      <c r="N18" s="6" t="n">
        <v>1</v>
      </c>
      <c r="O18" s="9">
        <f>IF(J18=0,"",E18/J18)</f>
        <v/>
      </c>
      <c r="P18" s="6" t="n">
        <v>345</v>
      </c>
      <c r="Q18" s="6" t="n">
        <v>329</v>
      </c>
      <c r="R18" s="9" t="n">
        <v>21.5</v>
      </c>
      <c r="S18" s="2">
        <f>IF(AND('Engine Inputs'!E18=0,R18=0),"",IF('Engine Inputs'!E18=0,"📈 Up",IF((R18-'Engine Inputs'!E18)/'Engine Inputs'!E18&gt;Config!$B$2,"📈 Up",IF((R18-'Engine Inputs'!E18)/'Engine Inputs'!E18&lt;-Config!$B$2,"📉 Down","➡ Stable"))))</f>
        <v/>
      </c>
      <c r="T18" s="6" t="n">
        <v>16</v>
      </c>
      <c r="U18" s="9" t="n">
        <v>0</v>
      </c>
      <c r="V18" s="2">
        <f>IF(AND('Engine Inputs'!D18=0,U18=0),"",IF('Engine Inputs'!D18=0,"📈 Up",IF((U18-'Engine Inputs'!D18)/'Engine Inputs'!D18&gt;Config!$B$2,"📈 Up",IF((U18-'Engine Inputs'!D18)/'Engine Inputs'!D18&lt;-Config!$B$2,"📉 Down","➡ Stable"))))</f>
        <v/>
      </c>
      <c r="W18" s="2">
        <f>IF(AND(F18=0,E18=0),"",IF(F18=0,"📈 Up",IF((E18-F18)/F18&gt;Config!$B$2,"📈 Up",IF((E18-F18)/F18&lt;-Config!$B$2,"📉 Down","➡ Stable"))))</f>
        <v/>
      </c>
      <c r="X18" s="8" t="inlineStr">
        <is>
          <t>— not assigned</t>
        </is>
      </c>
    </row>
    <row r="19">
      <c r="A19" s="2" t="inlineStr">
        <is>
          <t>Sunsone</t>
        </is>
      </c>
      <c r="B19" s="2" t="inlineStr">
        <is>
          <t>Germany</t>
        </is>
      </c>
      <c r="C19" s="2" t="inlineStr">
        <is>
          <t>EUR</t>
        </is>
      </c>
      <c r="D19" s="3" t="n">
        <v>46251</v>
      </c>
      <c r="E19" s="7" t="n">
        <v>0</v>
      </c>
      <c r="F19" s="7" t="n">
        <v>0</v>
      </c>
      <c r="G19" s="7">
        <f>E19-F19</f>
        <v/>
      </c>
      <c r="H19" s="5">
        <f>IF(F19=0,"",(E19-F19)/F19)</f>
        <v/>
      </c>
      <c r="I19" s="7" t="n">
        <v>117.93</v>
      </c>
      <c r="J19" s="6" t="n">
        <v>0</v>
      </c>
      <c r="K19" s="6" t="n">
        <v>0</v>
      </c>
      <c r="L19" s="5">
        <f>IF(K19=0,"",(J19-K19)/K19)</f>
        <v/>
      </c>
      <c r="M19" s="6" t="n">
        <v>6</v>
      </c>
      <c r="N19" s="6" t="n">
        <v>0</v>
      </c>
      <c r="O19" s="7">
        <f>IF(J19=0,"",E19/J19)</f>
        <v/>
      </c>
      <c r="P19" s="6" t="n">
        <v>301</v>
      </c>
      <c r="Q19" s="6" t="n">
        <v>301</v>
      </c>
      <c r="R19" s="7" t="n">
        <v>0</v>
      </c>
      <c r="S19" s="2">
        <f>IF(AND('Engine Inputs'!E19=0,R19=0),"",IF('Engine Inputs'!E19=0,"📈 Up",IF((R19-'Engine Inputs'!E19)/'Engine Inputs'!E19&gt;Config!$B$2,"📈 Up",IF((R19-'Engine Inputs'!E19)/'Engine Inputs'!E19&lt;-Config!$B$2,"📉 Down","➡ Stable"))))</f>
        <v/>
      </c>
      <c r="T19" s="6" t="n">
        <v>0</v>
      </c>
      <c r="U19" s="7" t="n">
        <v>0</v>
      </c>
      <c r="V19" s="2">
        <f>IF(AND('Engine Inputs'!D19=0,U19=0),"",IF('Engine Inputs'!D19=0,"📈 Up",IF((U19-'Engine Inputs'!D19)/'Engine Inputs'!D19&gt;Config!$B$2,"📈 Up",IF((U19-'Engine Inputs'!D19)/'Engine Inputs'!D19&lt;-Config!$B$2,"📉 Down","➡ Stable"))))</f>
        <v/>
      </c>
      <c r="W19" s="2">
        <f>IF(AND(F19=0,E19=0),"",IF(F19=0,"📈 Up",IF((E19-F19)/F19&gt;Config!$B$2,"📈 Up",IF((E19-F19)/F19&lt;-Config!$B$2,"📉 Down","➡ Stable"))))</f>
        <v/>
      </c>
      <c r="X19" s="2" t="inlineStr">
        <is>
          <t>Sivajitha</t>
        </is>
      </c>
    </row>
    <row r="20">
      <c r="A20" s="2" t="inlineStr">
        <is>
          <t>Lighting Sone</t>
        </is>
      </c>
      <c r="B20" s="2" t="inlineStr">
        <is>
          <t>UK</t>
        </is>
      </c>
      <c r="C20" s="2" t="inlineStr">
        <is>
          <t>GBP</t>
        </is>
      </c>
      <c r="D20" s="3" t="n">
        <v>46251</v>
      </c>
      <c r="E20" s="4" t="n">
        <v>34.88</v>
      </c>
      <c r="F20" s="4" t="n">
        <v>0</v>
      </c>
      <c r="G20" s="4">
        <f>E20-F20</f>
        <v/>
      </c>
      <c r="H20" s="5">
        <f>IF(F20=0,"",(E20-F20)/F20)</f>
        <v/>
      </c>
      <c r="I20" s="4" t="n">
        <v>71.70999999999999</v>
      </c>
      <c r="J20" s="6" t="n">
        <v>2</v>
      </c>
      <c r="K20" s="6" t="n">
        <v>0</v>
      </c>
      <c r="L20" s="5">
        <f>IF(K20=0,"",(J20-K20)/K20)</f>
        <v/>
      </c>
      <c r="M20" s="6" t="n">
        <v>4</v>
      </c>
      <c r="N20" s="6" t="n">
        <v>2</v>
      </c>
      <c r="O20" s="4">
        <f>IF(J20=0,"",E20/J20)</f>
        <v/>
      </c>
      <c r="P20" s="6" t="n">
        <v>266</v>
      </c>
      <c r="Q20" s="6" t="n">
        <v>266</v>
      </c>
      <c r="R20" s="4" t="n">
        <v>34.88</v>
      </c>
      <c r="S20" s="2">
        <f>IF(AND('Engine Inputs'!E20=0,R20=0),"",IF('Engine Inputs'!E20=0,"📈 Up",IF((R20-'Engine Inputs'!E20)/'Engine Inputs'!E20&gt;Config!$B$2,"📈 Up",IF((R20-'Engine Inputs'!E20)/'Engine Inputs'!E20&lt;-Config!$B$2,"📉 Down","➡ Stable"))))</f>
        <v/>
      </c>
      <c r="T20" s="6" t="n">
        <v>0</v>
      </c>
      <c r="U20" s="4" t="n">
        <v>0</v>
      </c>
      <c r="V20" s="2">
        <f>IF(AND('Engine Inputs'!D20=0,U20=0),"",IF('Engine Inputs'!D20=0,"📈 Up",IF((U20-'Engine Inputs'!D20)/'Engine Inputs'!D20&gt;Config!$B$2,"📈 Up",IF((U20-'Engine Inputs'!D20)/'Engine Inputs'!D20&lt;-Config!$B$2,"📉 Down","➡ Stable"))))</f>
        <v/>
      </c>
      <c r="W20" s="2">
        <f>IF(AND(F20=0,E20=0),"",IF(F20=0,"📈 Up",IF((E20-F20)/F20&gt;Config!$B$2,"📈 Up",IF((E20-F20)/F20&lt;-Config!$B$2,"📉 Down","➡ Stable"))))</f>
        <v/>
      </c>
      <c r="X20" s="8" t="inlineStr">
        <is>
          <t>— not assigned</t>
        </is>
      </c>
    </row>
    <row r="21">
      <c r="A21" s="2" t="inlineStr">
        <is>
          <t>Homin GmbH</t>
        </is>
      </c>
      <c r="B21" s="2" t="inlineStr">
        <is>
          <t>Germany</t>
        </is>
      </c>
      <c r="C21" s="2" t="inlineStr">
        <is>
          <t>EUR</t>
        </is>
      </c>
      <c r="D21" s="3" t="n">
        <v>46251</v>
      </c>
      <c r="E21" s="7" t="n">
        <v>17.74</v>
      </c>
      <c r="F21" s="7" t="n">
        <v>0</v>
      </c>
      <c r="G21" s="7">
        <f>E21-F21</f>
        <v/>
      </c>
      <c r="H21" s="5">
        <f>IF(F21=0,"",(E21-F21)/F21)</f>
        <v/>
      </c>
      <c r="I21" s="7" t="n">
        <v>0</v>
      </c>
      <c r="J21" s="6" t="n">
        <v>1</v>
      </c>
      <c r="K21" s="6" t="n">
        <v>0</v>
      </c>
      <c r="L21" s="5">
        <f>IF(K21=0,"",(J21-K21)/K21)</f>
        <v/>
      </c>
      <c r="M21" s="6" t="n">
        <v>0</v>
      </c>
      <c r="N21" s="6" t="n">
        <v>1</v>
      </c>
      <c r="O21" s="7">
        <f>IF(J21=0,"",E21/J21)</f>
        <v/>
      </c>
      <c r="P21" s="6" t="n">
        <v>200</v>
      </c>
      <c r="Q21" s="6" t="n">
        <v>200</v>
      </c>
      <c r="R21" s="7" t="n">
        <v>12.49</v>
      </c>
      <c r="S21" s="2">
        <f>IF(AND('Engine Inputs'!E21=0,R21=0),"",IF('Engine Inputs'!E21=0,"📈 Up",IF((R21-'Engine Inputs'!E21)/'Engine Inputs'!E21&gt;Config!$B$2,"📈 Up",IF((R21-'Engine Inputs'!E21)/'Engine Inputs'!E21&lt;-Config!$B$2,"📉 Down","➡ Stable"))))</f>
        <v/>
      </c>
      <c r="T21" s="6" t="n">
        <v>0</v>
      </c>
      <c r="U21" s="7" t="n">
        <v>0</v>
      </c>
      <c r="V21" s="2">
        <f>IF(AND('Engine Inputs'!D21=0,U21=0),"",IF('Engine Inputs'!D21=0,"📈 Up",IF((U21-'Engine Inputs'!D21)/'Engine Inputs'!D21&gt;Config!$B$2,"📈 Up",IF((U21-'Engine Inputs'!D21)/'Engine Inputs'!D21&lt;-Config!$B$2,"📉 Down","➡ Stable"))))</f>
        <v/>
      </c>
      <c r="W21" s="2">
        <f>IF(AND(F21=0,E21=0),"",IF(F21=0,"📈 Up",IF((E21-F21)/F21&gt;Config!$B$2,"📈 Up",IF((E21-F21)/F21&lt;-Config!$B$2,"📉 Down","➡ Stable"))))</f>
        <v/>
      </c>
      <c r="X21" s="8" t="inlineStr">
        <is>
          <t>— not assigned</t>
        </is>
      </c>
    </row>
    <row r="22">
      <c r="A22" s="2" t="inlineStr">
        <is>
          <t>LEDSone UK</t>
        </is>
      </c>
      <c r="B22" s="2" t="inlineStr">
        <is>
          <t>Canada</t>
        </is>
      </c>
      <c r="C22" s="2" t="inlineStr">
        <is>
          <t>CAD</t>
        </is>
      </c>
      <c r="D22" s="3" t="n">
        <v>46251</v>
      </c>
      <c r="E22" s="10" t="n">
        <v>0</v>
      </c>
      <c r="F22" s="10" t="n">
        <v>0</v>
      </c>
      <c r="G22" s="10">
        <f>E22-F22</f>
        <v/>
      </c>
      <c r="H22" s="5">
        <f>IF(F22=0,"",(E22-F22)/F22)</f>
        <v/>
      </c>
      <c r="I22" s="10" t="n">
        <v>0</v>
      </c>
      <c r="J22" s="6" t="n">
        <v>0</v>
      </c>
      <c r="K22" s="6" t="n">
        <v>0</v>
      </c>
      <c r="L22" s="5">
        <f>IF(K22=0,"",(J22-K22)/K22)</f>
        <v/>
      </c>
      <c r="M22" s="6" t="n">
        <v>0</v>
      </c>
      <c r="N22" s="6" t="n">
        <v>0</v>
      </c>
      <c r="O22" s="10">
        <f>IF(J22=0,"",E22/J22)</f>
        <v/>
      </c>
      <c r="P22" s="6" t="n">
        <v>184</v>
      </c>
      <c r="Q22" s="6" t="n">
        <v>184</v>
      </c>
      <c r="R22" s="10" t="n">
        <v>0</v>
      </c>
      <c r="S22" s="2">
        <f>IF(AND('Engine Inputs'!E22=0,R22=0),"",IF('Engine Inputs'!E22=0,"📈 Up",IF((R22-'Engine Inputs'!E22)/'Engine Inputs'!E22&gt;Config!$B$2,"📈 Up",IF((R22-'Engine Inputs'!E22)/'Engine Inputs'!E22&lt;-Config!$B$2,"📉 Down","➡ Stable"))))</f>
        <v/>
      </c>
      <c r="T22" s="6" t="n">
        <v>0</v>
      </c>
      <c r="U22" s="10" t="n">
        <v>0</v>
      </c>
      <c r="V22" s="2">
        <f>IF(AND('Engine Inputs'!D22=0,U22=0),"",IF('Engine Inputs'!D22=0,"📈 Up",IF((U22-'Engine Inputs'!D22)/'Engine Inputs'!D22&gt;Config!$B$2,"📈 Up",IF((U22-'Engine Inputs'!D22)/'Engine Inputs'!D22&lt;-Config!$B$2,"📉 Down","➡ Stable"))))</f>
        <v/>
      </c>
      <c r="W22" s="2">
        <f>IF(AND(F22=0,E22=0),"",IF(F22=0,"📈 Up",IF((E22-F22)/F22&gt;Config!$B$2,"📈 Up",IF((E22-F22)/F22&lt;-Config!$B$2,"📉 Down","➡ Stable"))))</f>
        <v/>
      </c>
      <c r="X22" s="2" t="inlineStr">
        <is>
          <t>Sharmilan</t>
        </is>
      </c>
    </row>
    <row r="23">
      <c r="A23" s="2" t="inlineStr">
        <is>
          <t>LEDSone UK</t>
        </is>
      </c>
      <c r="B23" s="2" t="inlineStr">
        <is>
          <t>Italy</t>
        </is>
      </c>
      <c r="C23" s="2" t="inlineStr">
        <is>
          <t>EUR</t>
        </is>
      </c>
      <c r="D23" s="3" t="n">
        <v>46251</v>
      </c>
      <c r="E23" s="7" t="n">
        <v>0</v>
      </c>
      <c r="F23" s="7" t="n">
        <v>0</v>
      </c>
      <c r="G23" s="7">
        <f>E23-F23</f>
        <v/>
      </c>
      <c r="H23" s="5">
        <f>IF(F23=0,"",(E23-F23)/F23)</f>
        <v/>
      </c>
      <c r="I23" s="7" t="n">
        <v>0</v>
      </c>
      <c r="J23" s="6" t="n">
        <v>0</v>
      </c>
      <c r="K23" s="6" t="n">
        <v>0</v>
      </c>
      <c r="L23" s="5">
        <f>IF(K23=0,"",(J23-K23)/K23)</f>
        <v/>
      </c>
      <c r="M23" s="6" t="n">
        <v>0</v>
      </c>
      <c r="N23" s="6" t="n">
        <v>0</v>
      </c>
      <c r="O23" s="7">
        <f>IF(J23=0,"",E23/J23)</f>
        <v/>
      </c>
      <c r="P23" s="6" t="n">
        <v>177</v>
      </c>
      <c r="Q23" s="6" t="n">
        <v>177</v>
      </c>
      <c r="R23" s="7" t="n">
        <v>0</v>
      </c>
      <c r="S23" s="2">
        <f>IF(AND('Engine Inputs'!E23=0,R23=0),"",IF('Engine Inputs'!E23=0,"📈 Up",IF((R23-'Engine Inputs'!E23)/'Engine Inputs'!E23&gt;Config!$B$2,"📈 Up",IF((R23-'Engine Inputs'!E23)/'Engine Inputs'!E23&lt;-Config!$B$2,"📉 Down","➡ Stable"))))</f>
        <v/>
      </c>
      <c r="T23" s="6" t="n">
        <v>0</v>
      </c>
      <c r="U23" s="7" t="n">
        <v>0</v>
      </c>
      <c r="V23" s="2">
        <f>IF(AND('Engine Inputs'!D23=0,U23=0),"",IF('Engine Inputs'!D23=0,"📈 Up",IF((U23-'Engine Inputs'!D23)/'Engine Inputs'!D23&gt;Config!$B$2,"📈 Up",IF((U23-'Engine Inputs'!D23)/'Engine Inputs'!D23&lt;-Config!$B$2,"📉 Down","➡ Stable"))))</f>
        <v/>
      </c>
      <c r="W23" s="2">
        <f>IF(AND(F23=0,E23=0),"",IF(F23=0,"📈 Up",IF((E23-F23)/F23&gt;Config!$B$2,"📈 Up",IF((E23-F23)/F23&lt;-Config!$B$2,"📉 Down","➡ Stable"))))</f>
        <v/>
      </c>
      <c r="X23" s="2" t="inlineStr">
        <is>
          <t>Sharmilan</t>
        </is>
      </c>
    </row>
    <row r="24">
      <c r="A24" s="2" t="inlineStr">
        <is>
          <t>ElectricalSone UK</t>
        </is>
      </c>
      <c r="B24" s="2" t="inlineStr">
        <is>
          <t>France</t>
        </is>
      </c>
      <c r="C24" s="2" t="inlineStr">
        <is>
          <t>EUR</t>
        </is>
      </c>
      <c r="D24" s="3" t="n">
        <v>46251</v>
      </c>
      <c r="E24" s="7" t="n">
        <v>20.89</v>
      </c>
      <c r="F24" s="7" t="n">
        <v>0</v>
      </c>
      <c r="G24" s="7">
        <f>E24-F24</f>
        <v/>
      </c>
      <c r="H24" s="5">
        <f>IF(F24=0,"",(E24-F24)/F24)</f>
        <v/>
      </c>
      <c r="I24" s="7" t="n">
        <v>28.67</v>
      </c>
      <c r="J24" s="6" t="n">
        <v>1</v>
      </c>
      <c r="K24" s="6" t="n">
        <v>0</v>
      </c>
      <c r="L24" s="5">
        <f>IF(K24=0,"",(J24-K24)/K24)</f>
        <v/>
      </c>
      <c r="M24" s="6" t="n">
        <v>1</v>
      </c>
      <c r="N24" s="6" t="n">
        <v>1</v>
      </c>
      <c r="O24" s="7">
        <f>IF(J24=0,"",E24/J24)</f>
        <v/>
      </c>
      <c r="P24" s="6" t="n">
        <v>170</v>
      </c>
      <c r="Q24" s="6" t="n">
        <v>151</v>
      </c>
      <c r="R24" s="7" t="n">
        <v>12.89</v>
      </c>
      <c r="S24" s="2">
        <f>IF(AND('Engine Inputs'!E24=0,R24=0),"",IF('Engine Inputs'!E24=0,"📈 Up",IF((R24-'Engine Inputs'!E24)/'Engine Inputs'!E24&gt;Config!$B$2,"📈 Up",IF((R24-'Engine Inputs'!E24)/'Engine Inputs'!E24&lt;-Config!$B$2,"📉 Down","➡ Stable"))))</f>
        <v/>
      </c>
      <c r="T24" s="6" t="n">
        <v>19</v>
      </c>
      <c r="U24" s="7" t="n">
        <v>0</v>
      </c>
      <c r="V24" s="2">
        <f>IF(AND('Engine Inputs'!D24=0,U24=0),"",IF('Engine Inputs'!D24=0,"📈 Up",IF((U24-'Engine Inputs'!D24)/'Engine Inputs'!D24&gt;Config!$B$2,"📈 Up",IF((U24-'Engine Inputs'!D24)/'Engine Inputs'!D24&lt;-Config!$B$2,"📉 Down","➡ Stable"))))</f>
        <v/>
      </c>
      <c r="W24" s="2">
        <f>IF(AND(F24=0,E24=0),"",IF(F24=0,"📈 Up",IF((E24-F24)/F24&gt;Config!$B$2,"📈 Up",IF((E24-F24)/F24&lt;-Config!$B$2,"📉 Down","➡ Stable"))))</f>
        <v/>
      </c>
      <c r="X24" s="2" t="inlineStr">
        <is>
          <t>Kobiga</t>
        </is>
      </c>
    </row>
    <row r="25">
      <c r="A25" s="2" t="inlineStr">
        <is>
          <t>ElectricalSone UK</t>
        </is>
      </c>
      <c r="B25" s="2" t="inlineStr">
        <is>
          <t>Canada</t>
        </is>
      </c>
      <c r="C25" s="2" t="inlineStr">
        <is>
          <t>CAD</t>
        </is>
      </c>
      <c r="D25" s="3" t="n">
        <v>46251</v>
      </c>
      <c r="E25" s="10" t="n">
        <v>0</v>
      </c>
      <c r="F25" s="10" t="n">
        <v>0</v>
      </c>
      <c r="G25" s="10">
        <f>E25-F25</f>
        <v/>
      </c>
      <c r="H25" s="5">
        <f>IF(F25=0,"",(E25-F25)/F25)</f>
        <v/>
      </c>
      <c r="I25" s="10" t="n">
        <v>0</v>
      </c>
      <c r="J25" s="6" t="n">
        <v>0</v>
      </c>
      <c r="K25" s="6" t="n">
        <v>0</v>
      </c>
      <c r="L25" s="5">
        <f>IF(K25=0,"",(J25-K25)/K25)</f>
        <v/>
      </c>
      <c r="M25" s="6" t="n">
        <v>0</v>
      </c>
      <c r="N25" s="6" t="n">
        <v>0</v>
      </c>
      <c r="O25" s="10">
        <f>IF(J25=0,"",E25/J25)</f>
        <v/>
      </c>
      <c r="P25" s="6" t="n">
        <v>154</v>
      </c>
      <c r="Q25" s="6" t="n">
        <v>154</v>
      </c>
      <c r="R25" s="10" t="n">
        <v>0</v>
      </c>
      <c r="S25" s="2">
        <f>IF(AND('Engine Inputs'!E25=0,R25=0),"",IF('Engine Inputs'!E25=0,"📈 Up",IF((R25-'Engine Inputs'!E25)/'Engine Inputs'!E25&gt;Config!$B$2,"📈 Up",IF((R25-'Engine Inputs'!E25)/'Engine Inputs'!E25&lt;-Config!$B$2,"📉 Down","➡ Stable"))))</f>
        <v/>
      </c>
      <c r="T25" s="6" t="n">
        <v>0</v>
      </c>
      <c r="U25" s="10" t="n">
        <v>0</v>
      </c>
      <c r="V25" s="2">
        <f>IF(AND('Engine Inputs'!D25=0,U25=0),"",IF('Engine Inputs'!D25=0,"📈 Up",IF((U25-'Engine Inputs'!D25)/'Engine Inputs'!D25&gt;Config!$B$2,"📈 Up",IF((U25-'Engine Inputs'!D25)/'Engine Inputs'!D25&lt;-Config!$B$2,"📉 Down","➡ Stable"))))</f>
        <v/>
      </c>
      <c r="W25" s="2">
        <f>IF(AND(F25=0,E25=0),"",IF(F25=0,"📈 Up",IF((E25-F25)/F25&gt;Config!$B$2,"📈 Up",IF((E25-F25)/F25&lt;-Config!$B$2,"📉 Down","➡ Stable"))))</f>
        <v/>
      </c>
      <c r="X25" s="2" t="inlineStr">
        <is>
          <t>Kobiga</t>
        </is>
      </c>
    </row>
    <row r="26">
      <c r="A26" s="2" t="inlineStr">
        <is>
          <t>Sunsone</t>
        </is>
      </c>
      <c r="B26" s="2" t="inlineStr">
        <is>
          <t>France</t>
        </is>
      </c>
      <c r="C26" s="2" t="inlineStr">
        <is>
          <t>EUR</t>
        </is>
      </c>
      <c r="D26" s="3" t="n">
        <v>46251</v>
      </c>
      <c r="E26" s="7" t="n">
        <v>0</v>
      </c>
      <c r="F26" s="7" t="n">
        <v>0</v>
      </c>
      <c r="G26" s="7">
        <f>E26-F26</f>
        <v/>
      </c>
      <c r="H26" s="5">
        <f>IF(F26=0,"",(E26-F26)/F26)</f>
        <v/>
      </c>
      <c r="I26" s="7" t="n">
        <v>0</v>
      </c>
      <c r="J26" s="6" t="n">
        <v>0</v>
      </c>
      <c r="K26" s="6" t="n">
        <v>0</v>
      </c>
      <c r="L26" s="5">
        <f>IF(K26=0,"",(J26-K26)/K26)</f>
        <v/>
      </c>
      <c r="M26" s="6" t="n">
        <v>0</v>
      </c>
      <c r="N26" s="6" t="n">
        <v>0</v>
      </c>
      <c r="O26" s="7">
        <f>IF(J26=0,"",E26/J26)</f>
        <v/>
      </c>
      <c r="P26" s="6" t="n">
        <v>73</v>
      </c>
      <c r="Q26" s="6" t="n">
        <v>73</v>
      </c>
      <c r="R26" s="7" t="n">
        <v>0</v>
      </c>
      <c r="S26" s="2">
        <f>IF(AND('Engine Inputs'!E26=0,R26=0),"",IF('Engine Inputs'!E26=0,"📈 Up",IF((R26-'Engine Inputs'!E26)/'Engine Inputs'!E26&gt;Config!$B$2,"📈 Up",IF((R26-'Engine Inputs'!E26)/'Engine Inputs'!E26&lt;-Config!$B$2,"📉 Down","➡ Stable"))))</f>
        <v/>
      </c>
      <c r="T26" s="6" t="n">
        <v>0</v>
      </c>
      <c r="U26" s="7" t="n">
        <v>0</v>
      </c>
      <c r="V26" s="2">
        <f>IF(AND('Engine Inputs'!D26=0,U26=0),"",IF('Engine Inputs'!D26=0,"📈 Up",IF((U26-'Engine Inputs'!D26)/'Engine Inputs'!D26&gt;Config!$B$2,"📈 Up",IF((U26-'Engine Inputs'!D26)/'Engine Inputs'!D26&lt;-Config!$B$2,"📉 Down","➡ Stable"))))</f>
        <v/>
      </c>
      <c r="W26" s="2">
        <f>IF(AND(F26=0,E26=0),"",IF(F26=0,"📈 Up",IF((E26-F26)/F26&gt;Config!$B$2,"📈 Up",IF((E26-F26)/F26&lt;-Config!$B$2,"📉 Down","➡ Stable"))))</f>
        <v/>
      </c>
      <c r="X26" s="8" t="inlineStr">
        <is>
          <t>— not assigned</t>
        </is>
      </c>
    </row>
    <row r="27">
      <c r="A27" s="2" t="inlineStr">
        <is>
          <t>Bestbringer</t>
        </is>
      </c>
      <c r="B27" s="2" t="inlineStr">
        <is>
          <t>UK</t>
        </is>
      </c>
      <c r="C27" s="2" t="inlineStr">
        <is>
          <t>GBP</t>
        </is>
      </c>
      <c r="D27" s="3" t="n">
        <v>46251</v>
      </c>
      <c r="E27" s="4" t="n">
        <v>17.52</v>
      </c>
      <c r="F27" s="4" t="n">
        <v>12.96</v>
      </c>
      <c r="G27" s="4">
        <f>E27-F27</f>
        <v/>
      </c>
      <c r="H27" s="5">
        <f>IF(F27=0,"",(E27-F27)/F27)</f>
        <v/>
      </c>
      <c r="I27" s="4" t="n">
        <v>0</v>
      </c>
      <c r="J27" s="6" t="n">
        <v>1</v>
      </c>
      <c r="K27" s="6" t="n">
        <v>1</v>
      </c>
      <c r="L27" s="5">
        <f>IF(K27=0,"",(J27-K27)/K27)</f>
        <v/>
      </c>
      <c r="M27" s="6" t="n">
        <v>0</v>
      </c>
      <c r="N27" s="6" t="n">
        <v>1</v>
      </c>
      <c r="O27" s="4">
        <f>IF(J27=0,"",E27/J27)</f>
        <v/>
      </c>
      <c r="P27" s="6" t="n">
        <v>65</v>
      </c>
      <c r="Q27" s="6" t="n">
        <v>65</v>
      </c>
      <c r="R27" s="4" t="n">
        <v>17.52</v>
      </c>
      <c r="S27" s="2">
        <f>IF(AND('Engine Inputs'!E27=0,R27=0),"",IF('Engine Inputs'!E27=0,"📈 Up",IF((R27-'Engine Inputs'!E27)/'Engine Inputs'!E27&gt;Config!$B$2,"📈 Up",IF((R27-'Engine Inputs'!E27)/'Engine Inputs'!E27&lt;-Config!$B$2,"📉 Down","➡ Stable"))))</f>
        <v/>
      </c>
      <c r="T27" s="6" t="n">
        <v>0</v>
      </c>
      <c r="U27" s="4" t="n">
        <v>0</v>
      </c>
      <c r="V27" s="2">
        <f>IF(AND('Engine Inputs'!D27=0,U27=0),"",IF('Engine Inputs'!D27=0,"📈 Up",IF((U27-'Engine Inputs'!D27)/'Engine Inputs'!D27&gt;Config!$B$2,"📈 Up",IF((U27-'Engine Inputs'!D27)/'Engine Inputs'!D27&lt;-Config!$B$2,"📉 Down","➡ Stable"))))</f>
        <v/>
      </c>
      <c r="W27" s="2">
        <f>IF(AND(F27=0,E27=0),"",IF(F27=0,"📈 Up",IF((E27-F27)/F27&gt;Config!$B$2,"📈 Up",IF((E27-F27)/F27&lt;-Config!$B$2,"📉 Down","➡ Stable"))))</f>
        <v/>
      </c>
      <c r="X27" s="8" t="inlineStr">
        <is>
          <t>— not assigned</t>
        </is>
      </c>
    </row>
    <row r="28">
      <c r="A28" s="2" t="inlineStr">
        <is>
          <t>Sunsone</t>
        </is>
      </c>
      <c r="B28" s="2" t="inlineStr">
        <is>
          <t>US</t>
        </is>
      </c>
      <c r="C28" s="2" t="inlineStr">
        <is>
          <t>USD</t>
        </is>
      </c>
      <c r="D28" s="3" t="n">
        <v>46251</v>
      </c>
      <c r="E28" s="9" t="n">
        <v>0</v>
      </c>
      <c r="F28" s="9" t="n">
        <v>0</v>
      </c>
      <c r="G28" s="9">
        <f>E28-F28</f>
        <v/>
      </c>
      <c r="H28" s="5">
        <f>IF(F28=0,"",(E28-F28)/F28)</f>
        <v/>
      </c>
      <c r="I28" s="9" t="n">
        <v>0</v>
      </c>
      <c r="J28" s="6" t="n">
        <v>0</v>
      </c>
      <c r="K28" s="6" t="n">
        <v>0</v>
      </c>
      <c r="L28" s="5">
        <f>IF(K28=0,"",(J28-K28)/K28)</f>
        <v/>
      </c>
      <c r="M28" s="6" t="n">
        <v>0</v>
      </c>
      <c r="N28" s="6" t="n">
        <v>0</v>
      </c>
      <c r="O28" s="9">
        <f>IF(J28=0,"",E28/J28)</f>
        <v/>
      </c>
      <c r="P28" s="6" t="n">
        <v>27</v>
      </c>
      <c r="Q28" s="6" t="n">
        <v>27</v>
      </c>
      <c r="R28" s="9" t="n">
        <v>0</v>
      </c>
      <c r="S28" s="2">
        <f>IF(AND('Engine Inputs'!E28=0,R28=0),"",IF('Engine Inputs'!E28=0,"📈 Up",IF((R28-'Engine Inputs'!E28)/'Engine Inputs'!E28&gt;Config!$B$2,"📈 Up",IF((R28-'Engine Inputs'!E28)/'Engine Inputs'!E28&lt;-Config!$B$2,"📉 Down","➡ Stable"))))</f>
        <v/>
      </c>
      <c r="T28" s="6" t="n">
        <v>0</v>
      </c>
      <c r="U28" s="9" t="n">
        <v>0</v>
      </c>
      <c r="V28" s="2">
        <f>IF(AND('Engine Inputs'!D28=0,U28=0),"",IF('Engine Inputs'!D28=0,"📈 Up",IF((U28-'Engine Inputs'!D28)/'Engine Inputs'!D28&gt;Config!$B$2,"📈 Up",IF((U28-'Engine Inputs'!D28)/'Engine Inputs'!D28&lt;-Config!$B$2,"📉 Down","➡ Stable"))))</f>
        <v/>
      </c>
      <c r="W28" s="2">
        <f>IF(AND(F28=0,E28=0),"",IF(F28=0,"📈 Up",IF((E28-F28)/F28&gt;Config!$B$2,"📈 Up",IF((E28-F28)/F28&lt;-Config!$B$2,"📉 Down","➡ Stable"))))</f>
        <v/>
      </c>
      <c r="X28" s="8" t="inlineStr">
        <is>
          <t>— not assigned</t>
        </is>
      </c>
    </row>
    <row r="29">
      <c r="A29" s="2" t="inlineStr">
        <is>
          <t>LEDSone UK</t>
        </is>
      </c>
      <c r="B29" s="2" t="inlineStr">
        <is>
          <t>Spain</t>
        </is>
      </c>
      <c r="C29" s="2" t="inlineStr">
        <is>
          <t>EUR</t>
        </is>
      </c>
      <c r="D29" s="3" t="n">
        <v>46251</v>
      </c>
      <c r="E29" s="7" t="n">
        <v>0</v>
      </c>
      <c r="F29" s="7" t="n">
        <v>0</v>
      </c>
      <c r="G29" s="7">
        <f>E29-F29</f>
        <v/>
      </c>
      <c r="H29" s="5">
        <f>IF(F29=0,"",(E29-F29)/F29)</f>
        <v/>
      </c>
      <c r="I29" s="7" t="n">
        <v>0</v>
      </c>
      <c r="J29" s="6" t="n">
        <v>0</v>
      </c>
      <c r="K29" s="6" t="n">
        <v>0</v>
      </c>
      <c r="L29" s="5">
        <f>IF(K29=0,"",(J29-K29)/K29)</f>
        <v/>
      </c>
      <c r="M29" s="6" t="n">
        <v>0</v>
      </c>
      <c r="N29" s="6" t="n">
        <v>0</v>
      </c>
      <c r="O29" s="7">
        <f>IF(J29=0,"",E29/J29)</f>
        <v/>
      </c>
      <c r="P29" s="6" t="n">
        <v>16</v>
      </c>
      <c r="Q29" s="6" t="n">
        <v>16</v>
      </c>
      <c r="R29" s="7" t="n">
        <v>0</v>
      </c>
      <c r="S29" s="2">
        <f>IF(AND('Engine Inputs'!E29=0,R29=0),"",IF('Engine Inputs'!E29=0,"📈 Up",IF((R29-'Engine Inputs'!E29)/'Engine Inputs'!E29&gt;Config!$B$2,"📈 Up",IF((R29-'Engine Inputs'!E29)/'Engine Inputs'!E29&lt;-Config!$B$2,"📉 Down","➡ Stable"))))</f>
        <v/>
      </c>
      <c r="T29" s="6" t="n">
        <v>0</v>
      </c>
      <c r="U29" s="7" t="n">
        <v>0</v>
      </c>
      <c r="V29" s="2">
        <f>IF(AND('Engine Inputs'!D29=0,U29=0),"",IF('Engine Inputs'!D29=0,"📈 Up",IF((U29-'Engine Inputs'!D29)/'Engine Inputs'!D29&gt;Config!$B$2,"📈 Up",IF((U29-'Engine Inputs'!D29)/'Engine Inputs'!D29&lt;-Config!$B$2,"📉 Down","➡ Stable"))))</f>
        <v/>
      </c>
      <c r="W29" s="2">
        <f>IF(AND(F29=0,E29=0),"",IF(F29=0,"📈 Up",IF((E29-F29)/F29&gt;Config!$B$2,"📈 Up",IF((E29-F29)/F29&lt;-Config!$B$2,"📉 Down","➡ Stable"))))</f>
        <v/>
      </c>
      <c r="X29" s="2" t="inlineStr">
        <is>
          <t>Sharmilan</t>
        </is>
      </c>
    </row>
    <row r="30">
      <c r="A30" s="2" t="inlineStr">
        <is>
          <t>LEDSone UK</t>
        </is>
      </c>
      <c r="B30" s="2" t="inlineStr">
        <is>
          <t>Netherlands</t>
        </is>
      </c>
      <c r="C30" s="2" t="inlineStr">
        <is>
          <t>EUR</t>
        </is>
      </c>
      <c r="D30" s="3" t="n">
        <v>46251</v>
      </c>
      <c r="E30" s="7" t="n">
        <v>0</v>
      </c>
      <c r="F30" s="7" t="n">
        <v>0</v>
      </c>
      <c r="G30" s="7">
        <f>E30-F30</f>
        <v/>
      </c>
      <c r="H30" s="5">
        <f>IF(F30=0,"",(E30-F30)/F30)</f>
        <v/>
      </c>
      <c r="I30" s="7" t="n">
        <v>0</v>
      </c>
      <c r="J30" s="6" t="n">
        <v>0</v>
      </c>
      <c r="K30" s="6" t="n">
        <v>0</v>
      </c>
      <c r="L30" s="5">
        <f>IF(K30=0,"",(J30-K30)/K30)</f>
        <v/>
      </c>
      <c r="M30" s="6" t="n">
        <v>0</v>
      </c>
      <c r="N30" s="6" t="n">
        <v>0</v>
      </c>
      <c r="O30" s="7">
        <f>IF(J30=0,"",E30/J30)</f>
        <v/>
      </c>
      <c r="P30" s="6" t="n">
        <v>6</v>
      </c>
      <c r="Q30" s="6" t="n">
        <v>6</v>
      </c>
      <c r="R30" s="7" t="n">
        <v>0</v>
      </c>
      <c r="S30" s="2">
        <f>IF(AND('Engine Inputs'!E30=0,R30=0),"",IF('Engine Inputs'!E30=0,"📈 Up",IF((R30-'Engine Inputs'!E30)/'Engine Inputs'!E30&gt;Config!$B$2,"📈 Up",IF((R30-'Engine Inputs'!E30)/'Engine Inputs'!E30&lt;-Config!$B$2,"📉 Down","➡ Stable"))))</f>
        <v/>
      </c>
      <c r="T30" s="6" t="n">
        <v>0</v>
      </c>
      <c r="U30" s="7" t="n">
        <v>0</v>
      </c>
      <c r="V30" s="2">
        <f>IF(AND('Engine Inputs'!D30=0,U30=0),"",IF('Engine Inputs'!D30=0,"📈 Up",IF((U30-'Engine Inputs'!D30)/'Engine Inputs'!D30&gt;Config!$B$2,"📈 Up",IF((U30-'Engine Inputs'!D30)/'Engine Inputs'!D30&lt;-Config!$B$2,"📉 Down","➡ Stable"))))</f>
        <v/>
      </c>
      <c r="W30" s="2">
        <f>IF(AND(F30=0,E30=0),"",IF(F30=0,"📈 Up",IF((E30-F30)/F30&gt;Config!$B$2,"📈 Up",IF((E30-F30)/F30&lt;-Config!$B$2,"📉 Down","➡ Stable"))))</f>
        <v/>
      </c>
      <c r="X30" s="2" t="inlineStr">
        <is>
          <t>Sharmilan</t>
        </is>
      </c>
    </row>
    <row r="31">
      <c r="A31" s="2" t="inlineStr">
        <is>
          <t>Huetten Lampen DE</t>
        </is>
      </c>
      <c r="B31" s="2" t="inlineStr">
        <is>
          <t>Italy</t>
        </is>
      </c>
      <c r="C31" s="2" t="inlineStr">
        <is>
          <t>EUR</t>
        </is>
      </c>
      <c r="D31" s="3" t="n">
        <v>46251</v>
      </c>
      <c r="E31" s="7" t="n">
        <v>0</v>
      </c>
      <c r="F31" s="7" t="n">
        <v>0</v>
      </c>
      <c r="G31" s="7">
        <f>E31-F31</f>
        <v/>
      </c>
      <c r="H31" s="5">
        <f>IF(F31=0,"",(E31-F31)/F31)</f>
        <v/>
      </c>
      <c r="I31" s="7" t="n">
        <v>0</v>
      </c>
      <c r="J31" s="6" t="n">
        <v>0</v>
      </c>
      <c r="K31" s="6" t="n">
        <v>0</v>
      </c>
      <c r="L31" s="5">
        <f>IF(K31=0,"",(J31-K31)/K31)</f>
        <v/>
      </c>
      <c r="M31" s="6" t="n">
        <v>0</v>
      </c>
      <c r="N31" s="6" t="n">
        <v>0</v>
      </c>
      <c r="O31" s="7">
        <f>IF(J31=0,"",E31/J31)</f>
        <v/>
      </c>
      <c r="P31" s="6" t="n">
        <v>2</v>
      </c>
      <c r="Q31" s="6" t="n">
        <v>2</v>
      </c>
      <c r="R31" s="7" t="n">
        <v>0</v>
      </c>
      <c r="S31" s="2">
        <f>IF(AND('Engine Inputs'!E31=0,R31=0),"",IF('Engine Inputs'!E31=0,"📈 Up",IF((R31-'Engine Inputs'!E31)/'Engine Inputs'!E31&gt;Config!$B$2,"📈 Up",IF((R31-'Engine Inputs'!E31)/'Engine Inputs'!E31&lt;-Config!$B$2,"📉 Down","➡ Stable"))))</f>
        <v/>
      </c>
      <c r="T31" s="6" t="n">
        <v>0</v>
      </c>
      <c r="U31" s="7" t="n">
        <v>0</v>
      </c>
      <c r="V31" s="2">
        <f>IF(AND('Engine Inputs'!D31=0,U31=0),"",IF('Engine Inputs'!D31=0,"📈 Up",IF((U31-'Engine Inputs'!D31)/'Engine Inputs'!D31&gt;Config!$B$2,"📈 Up",IF((U31-'Engine Inputs'!D31)/'Engine Inputs'!D31&lt;-Config!$B$2,"📉 Down","➡ Stable"))))</f>
        <v/>
      </c>
      <c r="W31" s="2">
        <f>IF(AND(F31=0,E31=0),"",IF(F31=0,"📈 Up",IF((E31-F31)/F31&gt;Config!$B$2,"📈 Up",IF((E31-F31)/F31&lt;-Config!$B$2,"📉 Down","➡ Stable"))))</f>
        <v/>
      </c>
      <c r="X31" s="2" t="inlineStr">
        <is>
          <t>Jarsini</t>
        </is>
      </c>
    </row>
    <row r="32">
      <c r="A32" s="2" t="inlineStr">
        <is>
          <t>LEDSone DE</t>
        </is>
      </c>
      <c r="B32" s="2" t="inlineStr">
        <is>
          <t>UK</t>
        </is>
      </c>
      <c r="C32" s="2" t="inlineStr">
        <is>
          <t>GBP</t>
        </is>
      </c>
      <c r="D32" s="3" t="n">
        <v>46251</v>
      </c>
      <c r="E32" s="4" t="n">
        <v>0</v>
      </c>
      <c r="F32" s="4" t="n">
        <v>0</v>
      </c>
      <c r="G32" s="4">
        <f>E32-F32</f>
        <v/>
      </c>
      <c r="H32" s="5">
        <f>IF(F32=0,"",(E32-F32)/F32)</f>
        <v/>
      </c>
      <c r="I32" s="4" t="n">
        <v>0</v>
      </c>
      <c r="J32" s="6" t="n">
        <v>0</v>
      </c>
      <c r="K32" s="6" t="n">
        <v>0</v>
      </c>
      <c r="L32" s="5">
        <f>IF(K32=0,"",(J32-K32)/K32)</f>
        <v/>
      </c>
      <c r="M32" s="6" t="n">
        <v>0</v>
      </c>
      <c r="N32" s="6" t="n">
        <v>0</v>
      </c>
      <c r="O32" s="4">
        <f>IF(J32=0,"",E32/J32)</f>
        <v/>
      </c>
      <c r="P32" s="6" t="n">
        <v>2</v>
      </c>
      <c r="Q32" s="6" t="n">
        <v>2</v>
      </c>
      <c r="R32" s="4" t="n">
        <v>0</v>
      </c>
      <c r="S32" s="2">
        <f>IF(AND('Engine Inputs'!E32=0,R32=0),"",IF('Engine Inputs'!E32=0,"📈 Up",IF((R32-'Engine Inputs'!E32)/'Engine Inputs'!E32&gt;Config!$B$2,"📈 Up",IF((R32-'Engine Inputs'!E32)/'Engine Inputs'!E32&lt;-Config!$B$2,"📉 Down","➡ Stable"))))</f>
        <v/>
      </c>
      <c r="T32" s="6" t="n">
        <v>0</v>
      </c>
      <c r="U32" s="4" t="n">
        <v>0</v>
      </c>
      <c r="V32" s="2">
        <f>IF(AND('Engine Inputs'!D32=0,U32=0),"",IF('Engine Inputs'!D32=0,"📈 Up",IF((U32-'Engine Inputs'!D32)/'Engine Inputs'!D32&gt;Config!$B$2,"📈 Up",IF((U32-'Engine Inputs'!D32)/'Engine Inputs'!D32&lt;-Config!$B$2,"📉 Down","➡ Stable"))))</f>
        <v/>
      </c>
      <c r="W32" s="2">
        <f>IF(AND(F32=0,E32=0),"",IF(F32=0,"📈 Up",IF((E32-F32)/F32&gt;Config!$B$2,"📈 Up",IF((E32-F32)/F32&lt;-Config!$B$2,"📉 Down","➡ Stable"))))</f>
        <v/>
      </c>
      <c r="X32" s="2" t="inlineStr">
        <is>
          <t>Jarsini</t>
        </is>
      </c>
    </row>
    <row r="33">
      <c r="A33" s="2" t="inlineStr">
        <is>
          <t>ElectricalSone UK</t>
        </is>
      </c>
      <c r="B33" s="2" t="inlineStr">
        <is>
          <t>Italy</t>
        </is>
      </c>
      <c r="C33" s="2" t="inlineStr">
        <is>
          <t>EUR</t>
        </is>
      </c>
      <c r="D33" s="3" t="n">
        <v>46251</v>
      </c>
      <c r="E33" s="7" t="n">
        <v>0</v>
      </c>
      <c r="F33" s="7" t="n">
        <v>0</v>
      </c>
      <c r="G33" s="7">
        <f>E33-F33</f>
        <v/>
      </c>
      <c r="H33" s="5">
        <f>IF(F33=0,"",(E33-F33)/F33)</f>
        <v/>
      </c>
      <c r="I33" s="7" t="n">
        <v>0</v>
      </c>
      <c r="J33" s="6" t="n">
        <v>0</v>
      </c>
      <c r="K33" s="6" t="n">
        <v>0</v>
      </c>
      <c r="L33" s="5">
        <f>IF(K33=0,"",(J33-K33)/K33)</f>
        <v/>
      </c>
      <c r="M33" s="6" t="n">
        <v>0</v>
      </c>
      <c r="N33" s="6" t="n">
        <v>0</v>
      </c>
      <c r="O33" s="7">
        <f>IF(J33=0,"",E33/J33)</f>
        <v/>
      </c>
      <c r="P33" s="6" t="n">
        <v>1</v>
      </c>
      <c r="Q33" s="6" t="n">
        <v>1</v>
      </c>
      <c r="R33" s="7" t="n">
        <v>0</v>
      </c>
      <c r="S33" s="2">
        <f>IF(AND('Engine Inputs'!E33=0,R33=0),"",IF('Engine Inputs'!E33=0,"📈 Up",IF((R33-'Engine Inputs'!E33)/'Engine Inputs'!E33&gt;Config!$B$2,"📈 Up",IF((R33-'Engine Inputs'!E33)/'Engine Inputs'!E33&lt;-Config!$B$2,"📉 Down","➡ Stable"))))</f>
        <v/>
      </c>
      <c r="T33" s="6" t="n">
        <v>0</v>
      </c>
      <c r="U33" s="7" t="n">
        <v>0</v>
      </c>
      <c r="V33" s="2">
        <f>IF(AND('Engine Inputs'!D33=0,U33=0),"",IF('Engine Inputs'!D33=0,"📈 Up",IF((U33-'Engine Inputs'!D33)/'Engine Inputs'!D33&gt;Config!$B$2,"📈 Up",IF((U33-'Engine Inputs'!D33)/'Engine Inputs'!D33&lt;-Config!$B$2,"📉 Down","➡ Stable"))))</f>
        <v/>
      </c>
      <c r="W33" s="2">
        <f>IF(AND(F33=0,E33=0),"",IF(F33=0,"📈 Up",IF((E33-F33)/F33&gt;Config!$B$2,"📈 Up",IF((E33-F33)/F33&lt;-Config!$B$2,"📉 Down","➡ Stable"))))</f>
        <v/>
      </c>
      <c r="X33" s="2" t="inlineStr">
        <is>
          <t>Kobiga</t>
        </is>
      </c>
    </row>
  </sheetData>
  <autoFilter ref="A1:X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</cols>
  <sheetData>
    <row r="1">
      <c r="A1" s="11" t="inlineStr">
        <is>
          <t>Daily Sales Track — KPI Summary</t>
        </is>
      </c>
    </row>
    <row r="2">
      <c r="A2" t="inlineStr">
        <is>
          <t>Reporting day</t>
        </is>
      </c>
      <c r="B2" s="12" t="n">
        <v>46251</v>
      </c>
    </row>
    <row r="3">
      <c r="A3" t="inlineStr">
        <is>
          <t>Generated</t>
        </is>
      </c>
      <c r="B3" s="12" t="n">
        <v>46252</v>
      </c>
    </row>
    <row r="5">
      <c r="A5" s="13" t="inlineStr">
        <is>
          <t>KPI</t>
        </is>
      </c>
      <c r="B5" s="13" t="inlineStr">
        <is>
          <t>Value</t>
        </is>
      </c>
    </row>
    <row r="6">
      <c r="A6" s="2" t="inlineStr">
        <is>
          <t>Rows (account x marketplace)</t>
        </is>
      </c>
      <c r="B6" s="6">
        <f>COUNTA('Daily Sales Track'!A2:A33)</f>
        <v/>
      </c>
    </row>
    <row r="7">
      <c r="A7" s="2" t="inlineStr">
        <is>
          <t>Total Sales Today — GBP</t>
        </is>
      </c>
      <c r="B7" s="4">
        <f>SUMIF('Daily Sales Track'!$C$2:$C$33,"GBP",'Daily Sales Track'!$E$2:$E$33)</f>
        <v/>
      </c>
    </row>
    <row r="8">
      <c r="A8" s="2" t="inlineStr">
        <is>
          <t>Total Sales Today — EUR</t>
        </is>
      </c>
      <c r="B8" s="7">
        <f>SUMIF('Daily Sales Track'!$C$2:$C$33,"EUR",'Daily Sales Track'!$E$2:$E$33)</f>
        <v/>
      </c>
    </row>
    <row r="9">
      <c r="A9" s="2" t="inlineStr">
        <is>
          <t>Total Sales Today — USD</t>
        </is>
      </c>
      <c r="B9" s="9">
        <f>SUMIF('Daily Sales Track'!$C$2:$C$33,"USD",'Daily Sales Track'!$E$2:$E$33)</f>
        <v/>
      </c>
    </row>
    <row r="10">
      <c r="A10" s="2" t="inlineStr">
        <is>
          <t>Total Sales Today — CAD</t>
        </is>
      </c>
      <c r="B10" s="10">
        <f>SUMIF('Daily Sales Track'!$C$2:$C$33,"CAD",'Daily Sales Track'!$E$2:$E$33)</f>
        <v/>
      </c>
    </row>
    <row r="11">
      <c r="A11" s="2" t="inlineStr">
        <is>
          <t>Total Sales Yesterday — GBP</t>
        </is>
      </c>
      <c r="B11" s="4">
        <f>SUMIF('Daily Sales Track'!$C$2:$C$33,"GBP",'Daily Sales Track'!$F$2:$F$33)</f>
        <v/>
      </c>
    </row>
    <row r="12">
      <c r="A12" s="2" t="inlineStr">
        <is>
          <t>Total Sales Yesterday — EUR</t>
        </is>
      </c>
      <c r="B12" s="7">
        <f>SUMIF('Daily Sales Track'!$C$2:$C$33,"EUR",'Daily Sales Track'!$F$2:$F$33)</f>
        <v/>
      </c>
    </row>
    <row r="13">
      <c r="A13" s="2" t="inlineStr">
        <is>
          <t>Total Sales Yesterday — USD</t>
        </is>
      </c>
      <c r="B13" s="9">
        <f>SUMIF('Daily Sales Track'!$C$2:$C$33,"USD",'Daily Sales Track'!$F$2:$F$33)</f>
        <v/>
      </c>
    </row>
    <row r="14">
      <c r="A14" s="2" t="inlineStr">
        <is>
          <t>Total Sales Yesterday — CAD</t>
        </is>
      </c>
      <c r="B14" s="10">
        <f>SUMIF('Daily Sales Track'!$C$2:$C$33,"CAD",'Daily Sales Track'!$F$2:$F$33)</f>
        <v/>
      </c>
    </row>
    <row r="15">
      <c r="A15" s="2" t="inlineStr">
        <is>
          <t>Same Day LY Sales — GBP</t>
        </is>
      </c>
      <c r="B15" s="4">
        <f>SUMIF('Daily Sales Track'!$C$2:$C$33,"GBP",'Daily Sales Track'!$I$2:$I$33)</f>
        <v/>
      </c>
    </row>
    <row r="16">
      <c r="A16" s="2" t="inlineStr">
        <is>
          <t>Same Day LY Sales — EUR</t>
        </is>
      </c>
      <c r="B16" s="7">
        <f>SUMIF('Daily Sales Track'!$C$2:$C$33,"EUR",'Daily Sales Track'!$I$2:$I$33)</f>
        <v/>
      </c>
    </row>
    <row r="17">
      <c r="A17" s="2" t="inlineStr">
        <is>
          <t>Same Day LY Sales — USD</t>
        </is>
      </c>
      <c r="B17" s="9">
        <f>SUMIF('Daily Sales Track'!$C$2:$C$33,"USD",'Daily Sales Track'!$I$2:$I$33)</f>
        <v/>
      </c>
    </row>
    <row r="18">
      <c r="A18" s="2" t="inlineStr">
        <is>
          <t>Same Day LY Sales — CAD</t>
        </is>
      </c>
      <c r="B18" s="10">
        <f>SUMIF('Daily Sales Track'!$C$2:$C$33,"CAD",'Daily Sales Track'!$I$2:$I$33)</f>
        <v/>
      </c>
    </row>
    <row r="19">
      <c r="A19" s="2" t="inlineStr">
        <is>
          <t>Sales Growth — GBP</t>
        </is>
      </c>
      <c r="B19" s="5">
        <f>IF(B11=0,"",(B7-B11)/B11)</f>
        <v/>
      </c>
    </row>
    <row r="20">
      <c r="A20" s="2" t="inlineStr">
        <is>
          <t>Sales Growth — EUR</t>
        </is>
      </c>
      <c r="B20" s="5">
        <f>IF(B12=0,"",(B8-B12)/B12)</f>
        <v/>
      </c>
    </row>
    <row r="21">
      <c r="A21" s="2" t="inlineStr">
        <is>
          <t>Sales Growth — USD</t>
        </is>
      </c>
      <c r="B21" s="5">
        <f>IF(B13=0,"",(B9-B13)/B13)</f>
        <v/>
      </c>
    </row>
    <row r="22">
      <c r="A22" s="2" t="inlineStr">
        <is>
          <t>Sales Growth — CAD</t>
        </is>
      </c>
      <c r="B22" s="5">
        <f>IF(B14=0,"",(B10-B14)/B14)</f>
        <v/>
      </c>
    </row>
    <row r="23">
      <c r="A23" s="2" t="inlineStr">
        <is>
          <t>Total Orders</t>
        </is>
      </c>
      <c r="B23" s="6">
        <f>SUM('Daily Sales Track'!J2:J33)</f>
        <v/>
      </c>
    </row>
    <row r="24">
      <c r="A24" s="2" t="inlineStr">
        <is>
          <t>Yesterday Orders</t>
        </is>
      </c>
      <c r="B24" s="6">
        <f>SUM('Daily Sales Track'!K2:K33)</f>
        <v/>
      </c>
    </row>
    <row r="25">
      <c r="A25" s="2" t="inlineStr">
        <is>
          <t>Total Units Sold</t>
        </is>
      </c>
      <c r="B25" s="6">
        <f>SUM('Daily Sales Track'!N2:N33)</f>
        <v/>
      </c>
    </row>
    <row r="26">
      <c r="A26" s="2" t="inlineStr">
        <is>
          <t>Avg Order Value — GBP</t>
        </is>
      </c>
      <c r="B26" s="4">
        <f>IF(SUMIF('Daily Sales Track'!$C$2:$C$33,"GBP",'Daily Sales Track'!$J$2:$J$33)=0,"",SUMIF('Daily Sales Track'!$C$2:$C$33,"GBP",'Daily Sales Track'!$E$2:$E$33)/SUMIF('Daily Sales Track'!$C$2:$C$33,"GBP",'Daily Sales Track'!$J$2:$J$33))</f>
        <v/>
      </c>
    </row>
    <row r="27">
      <c r="A27" s="2" t="inlineStr">
        <is>
          <t>Avg Order Value — EUR</t>
        </is>
      </c>
      <c r="B27" s="7">
        <f>IF(SUMIF('Daily Sales Track'!$C$2:$C$33,"EUR",'Daily Sales Track'!$J$2:$J$33)=0,"",SUMIF('Daily Sales Track'!$C$2:$C$33,"EUR",'Daily Sales Track'!$E$2:$E$33)/SUMIF('Daily Sales Track'!$C$2:$C$33,"EUR",'Daily Sales Track'!$J$2:$J$33))</f>
        <v/>
      </c>
    </row>
    <row r="28">
      <c r="A28" s="2" t="inlineStr">
        <is>
          <t>Avg Order Value — USD</t>
        </is>
      </c>
      <c r="B28" s="9">
        <f>IF(SUMIF('Daily Sales Track'!$C$2:$C$33,"USD",'Daily Sales Track'!$J$2:$J$33)=0,"",SUMIF('Daily Sales Track'!$C$2:$C$33,"USD",'Daily Sales Track'!$E$2:$E$33)/SUMIF('Daily Sales Track'!$C$2:$C$33,"USD",'Daily Sales Track'!$J$2:$J$33))</f>
        <v/>
      </c>
    </row>
    <row r="29">
      <c r="A29" s="2" t="inlineStr">
        <is>
          <t>Avg Order Value — CAD</t>
        </is>
      </c>
      <c r="B29" s="10">
        <f>IF(SUMIF('Daily Sales Track'!$C$2:$C$33,"CAD",'Daily Sales Track'!$J$2:$J$33)=0,"",SUMIF('Daily Sales Track'!$C$2:$C$33,"CAD",'Daily Sales Track'!$E$2:$E$33)/SUMIF('Daily Sales Track'!$C$2:$C$33,"CAD",'Daily Sales Track'!$J$2:$J$33))</f>
        <v/>
      </c>
    </row>
    <row r="31">
      <c r="A31" t="inlineStr">
        <is>
          <t>NOTE: money is never summed across currencies. orders.total is in each marketplace's own currency and ledsone holds no exchange rates.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1" t="inlineStr">
        <is>
          <t>Editable engine configuration</t>
        </is>
      </c>
    </row>
    <row r="2">
      <c r="A2" t="inlineStr">
        <is>
          <t>Trend band (+/-)</t>
        </is>
      </c>
      <c r="B2" s="14" t="n">
        <v>0.05</v>
      </c>
      <c r="C2" t="inlineStr">
        <is>
          <t>PROVISIONAL - decision E is OPEN. Change this cell and every trend column on the report re-evaluates. Above +band = Up, below -band = Down, else Stable.</t>
        </is>
      </c>
    </row>
    <row r="3">
      <c r="A3" t="inlineStr"/>
    </row>
    <row r="4">
      <c r="A4" t="inlineStr">
        <is>
          <t>Evidence for the default: the source sample brackets the band - +6.91% shows 'Up' and +3.89% shows 'Stable', so the cut sits between them. 5% is the nearest round value.</t>
        </is>
      </c>
    </row>
    <row r="5">
      <c r="A5" t="inlineStr"/>
    </row>
    <row r="6">
      <c r="A6" t="inlineStr">
        <is>
          <t>MEASURED WARNING (2026-07-23, last 30 days, live): day-over-day account sales are far more volatile than this band assumes. Median absolute daily move by account:</t>
        </is>
      </c>
    </row>
    <row r="7">
      <c r="A7" t="inlineStr">
        <is>
          <t xml:space="preserve">   led_sone 15.6%  |  so_926407 18.5%  |  electricalsone 40.4%  |  ledsonede 48.1%  |  lighting_sone 62.6%</t>
        </is>
      </c>
    </row>
    <row r="8">
      <c r="A8" t="inlineStr">
        <is>
          <t>At +/-5% only 6.5% of account-days read 'Stable'; at +/-10% just 14.6%; at +/-20% only 25.5%.</t>
        </is>
      </c>
    </row>
    <row r="9">
      <c r="A9" t="inlineStr">
        <is>
          <t>CONSEQUENCE: whatever band is chosen, most rows will read Up or Down every day.</t>
        </is>
      </c>
    </row>
    <row r="10">
      <c r="A10" t="inlineStr">
        <is>
          <t>RECOMMENDATION: compare against the SAME WEEKDAY LAST WEEK rather than the previous day. Daily retail has a strong weekday rhythm; removing it makes 'Stable' meaningful.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0" customWidth="1" min="3" max="3"/>
    <col width="22" customWidth="1" min="4" max="4"/>
    <col width="22" customWidth="1" min="5" max="5"/>
  </cols>
  <sheetData>
    <row r="1">
      <c r="A1" s="13" t="inlineStr">
        <is>
          <t>Account</t>
        </is>
      </c>
      <c r="B1" s="13" t="inlineStr">
        <is>
          <t>Market</t>
        </is>
      </c>
      <c r="C1" s="13" t="inlineStr">
        <is>
          <t>Currency</t>
        </is>
      </c>
      <c r="D1" s="13" t="inlineStr">
        <is>
          <t>PH Sales 2026-08-16</t>
        </is>
      </c>
      <c r="E1" s="13" t="inlineStr">
        <is>
          <t>AH Sales 2026-08-16</t>
        </is>
      </c>
      <c r="F1" s="15" t="inlineStr">
        <is>
          <t>Prior-day (R-2) AH / PH sales - these drive the AH Sales Trend and PH Sales Trend columns. Rows 2..33 align 1:1 with 'Daily Sales Track' rows 2..33; do not sort or insert rows on either sheet independently.</t>
        </is>
      </c>
    </row>
    <row r="2">
      <c r="A2" s="2" t="inlineStr">
        <is>
          <t>LEDSone UK</t>
        </is>
      </c>
      <c r="B2" s="2" t="inlineStr">
        <is>
          <t>UK</t>
        </is>
      </c>
      <c r="C2" s="2" t="inlineStr">
        <is>
          <t>GBP</t>
        </is>
      </c>
      <c r="D2" s="16" t="n">
        <v>582.95</v>
      </c>
      <c r="E2" s="16" t="n">
        <v>621.3200000000001</v>
      </c>
    </row>
    <row r="3">
      <c r="A3" s="2" t="inlineStr">
        <is>
          <t>ElectricalSone UK</t>
        </is>
      </c>
      <c r="B3" s="2" t="inlineStr">
        <is>
          <t>UK</t>
        </is>
      </c>
      <c r="C3" s="2" t="inlineStr">
        <is>
          <t>GBP</t>
        </is>
      </c>
      <c r="D3" s="16" t="n">
        <v>157.43</v>
      </c>
      <c r="E3" s="16" t="n">
        <v>146.03</v>
      </c>
    </row>
    <row r="4">
      <c r="A4" s="2" t="inlineStr">
        <is>
          <t>LEDSone UK</t>
        </is>
      </c>
      <c r="B4" s="2" t="inlineStr">
        <is>
          <t>Germany</t>
        </is>
      </c>
      <c r="C4" s="2" t="inlineStr">
        <is>
          <t>EUR</t>
        </is>
      </c>
      <c r="D4" s="17" t="n">
        <v>22.44</v>
      </c>
      <c r="E4" s="17" t="n">
        <v>201.31</v>
      </c>
    </row>
    <row r="5">
      <c r="A5" s="2" t="inlineStr">
        <is>
          <t>Sunsone</t>
        </is>
      </c>
      <c r="B5" s="2" t="inlineStr">
        <is>
          <t>UK</t>
        </is>
      </c>
      <c r="C5" s="2" t="inlineStr">
        <is>
          <t>GBP</t>
        </is>
      </c>
      <c r="D5" s="16" t="n">
        <v>130.93</v>
      </c>
      <c r="E5" s="16" t="n">
        <v>106.36</v>
      </c>
    </row>
    <row r="6">
      <c r="A6" s="2" t="inlineStr">
        <is>
          <t>LEDSone DE</t>
        </is>
      </c>
      <c r="B6" s="2" t="inlineStr">
        <is>
          <t>Germany</t>
        </is>
      </c>
      <c r="C6" s="2" t="inlineStr">
        <is>
          <t>EUR</t>
        </is>
      </c>
      <c r="D6" s="17" t="n">
        <v>0</v>
      </c>
      <c r="E6" s="17" t="n">
        <v>186.49</v>
      </c>
    </row>
    <row r="7">
      <c r="A7" s="2" t="inlineStr">
        <is>
          <t>LEDSone UK</t>
        </is>
      </c>
      <c r="B7" s="2" t="inlineStr">
        <is>
          <t>Ireland</t>
        </is>
      </c>
      <c r="C7" s="2" t="inlineStr">
        <is>
          <t>EUR</t>
        </is>
      </c>
      <c r="D7" s="17" t="n">
        <v>0</v>
      </c>
      <c r="E7" s="17" t="n">
        <v>0</v>
      </c>
    </row>
    <row r="8">
      <c r="A8" s="2" t="inlineStr">
        <is>
          <t>LEDSone UK</t>
        </is>
      </c>
      <c r="B8" s="2" t="inlineStr">
        <is>
          <t>Austria</t>
        </is>
      </c>
      <c r="C8" s="2" t="inlineStr">
        <is>
          <t>EUR</t>
        </is>
      </c>
      <c r="D8" s="17" t="n">
        <v>0</v>
      </c>
      <c r="E8" s="17" t="n">
        <v>0</v>
      </c>
    </row>
    <row r="9">
      <c r="A9" s="2" t="inlineStr">
        <is>
          <t>Coventry Lights</t>
        </is>
      </c>
      <c r="B9" s="2" t="inlineStr">
        <is>
          <t>UK</t>
        </is>
      </c>
      <c r="C9" s="2" t="inlineStr">
        <is>
          <t>GBP</t>
        </is>
      </c>
      <c r="D9" s="16" t="n">
        <v>0</v>
      </c>
      <c r="E9" s="16" t="n">
        <v>197.39</v>
      </c>
    </row>
    <row r="10">
      <c r="A10" s="2" t="inlineStr">
        <is>
          <t>Huetten Lampen DE</t>
        </is>
      </c>
      <c r="B10" s="2" t="inlineStr">
        <is>
          <t>Germany</t>
        </is>
      </c>
      <c r="C10" s="2" t="inlineStr">
        <is>
          <t>EUR</t>
        </is>
      </c>
      <c r="D10" s="17" t="n">
        <v>58.87</v>
      </c>
      <c r="E10" s="17" t="n">
        <v>204.99</v>
      </c>
    </row>
    <row r="11">
      <c r="A11" s="2" t="inlineStr">
        <is>
          <t>DC Transformer</t>
        </is>
      </c>
      <c r="B11" s="2" t="inlineStr">
        <is>
          <t>UK</t>
        </is>
      </c>
      <c r="C11" s="2" t="inlineStr">
        <is>
          <t>GBP</t>
        </is>
      </c>
      <c r="D11" s="16" t="n">
        <v>0</v>
      </c>
      <c r="E11" s="16" t="n">
        <v>85.44</v>
      </c>
    </row>
    <row r="12">
      <c r="A12" s="2" t="inlineStr">
        <is>
          <t>ElectricalSone UK</t>
        </is>
      </c>
      <c r="B12" s="2" t="inlineStr">
        <is>
          <t>Germany</t>
        </is>
      </c>
      <c r="C12" s="2" t="inlineStr">
        <is>
          <t>EUR</t>
        </is>
      </c>
      <c r="D12" s="17" t="n">
        <v>0</v>
      </c>
      <c r="E12" s="17" t="n">
        <v>33.68</v>
      </c>
    </row>
    <row r="13">
      <c r="A13" s="2" t="inlineStr">
        <is>
          <t>Vintage Interior</t>
        </is>
      </c>
      <c r="B13" s="2" t="inlineStr">
        <is>
          <t>UK</t>
        </is>
      </c>
      <c r="C13" s="2" t="inlineStr">
        <is>
          <t>GBP</t>
        </is>
      </c>
      <c r="D13" s="16" t="n">
        <v>0</v>
      </c>
      <c r="E13" s="16" t="n">
        <v>107.38</v>
      </c>
    </row>
    <row r="14">
      <c r="A14" s="2" t="inlineStr">
        <is>
          <t>Retro LED</t>
        </is>
      </c>
      <c r="B14" s="2" t="inlineStr">
        <is>
          <t>UK</t>
        </is>
      </c>
      <c r="C14" s="2" t="inlineStr">
        <is>
          <t>GBP</t>
        </is>
      </c>
      <c r="D14" s="16" t="n">
        <v>0</v>
      </c>
      <c r="E14" s="16" t="n">
        <v>14.7</v>
      </c>
    </row>
    <row r="15">
      <c r="A15" s="2" t="inlineStr">
        <is>
          <t>LEDSone UK</t>
        </is>
      </c>
      <c r="B15" s="2" t="inlineStr">
        <is>
          <t>France</t>
        </is>
      </c>
      <c r="C15" s="2" t="inlineStr">
        <is>
          <t>EUR</t>
        </is>
      </c>
      <c r="D15" s="17" t="n">
        <v>0</v>
      </c>
      <c r="E15" s="17" t="n">
        <v>9.41</v>
      </c>
    </row>
    <row r="16">
      <c r="A16" s="2" t="inlineStr">
        <is>
          <t>LEDSone UK</t>
        </is>
      </c>
      <c r="B16" s="2" t="inlineStr">
        <is>
          <t>US</t>
        </is>
      </c>
      <c r="C16" s="2" t="inlineStr">
        <is>
          <t>USD</t>
        </is>
      </c>
      <c r="D16" s="18" t="n">
        <v>0</v>
      </c>
      <c r="E16" s="18" t="n">
        <v>0</v>
      </c>
    </row>
    <row r="17">
      <c r="A17" s="2" t="inlineStr">
        <is>
          <t>ElectricalSone UK</t>
        </is>
      </c>
      <c r="B17" s="2" t="inlineStr">
        <is>
          <t>US</t>
        </is>
      </c>
      <c r="C17" s="2" t="inlineStr">
        <is>
          <t>USD</t>
        </is>
      </c>
      <c r="D17" s="18" t="n">
        <v>0</v>
      </c>
      <c r="E17" s="18" t="n">
        <v>14.3</v>
      </c>
    </row>
    <row r="18">
      <c r="A18" s="2" t="inlineStr">
        <is>
          <t>Neighbour Market</t>
        </is>
      </c>
      <c r="B18" s="2" t="inlineStr">
        <is>
          <t>US</t>
        </is>
      </c>
      <c r="C18" s="2" t="inlineStr">
        <is>
          <t>USD</t>
        </is>
      </c>
      <c r="D18" s="18" t="n">
        <v>0</v>
      </c>
      <c r="E18" s="18" t="n">
        <v>134.96</v>
      </c>
    </row>
    <row r="19">
      <c r="A19" s="2" t="inlineStr">
        <is>
          <t>Sunsone</t>
        </is>
      </c>
      <c r="B19" s="2" t="inlineStr">
        <is>
          <t>Germany</t>
        </is>
      </c>
      <c r="C19" s="2" t="inlineStr">
        <is>
          <t>EUR</t>
        </is>
      </c>
      <c r="D19" s="17" t="n">
        <v>0</v>
      </c>
      <c r="E19" s="17" t="n">
        <v>0</v>
      </c>
    </row>
    <row r="20">
      <c r="A20" s="2" t="inlineStr">
        <is>
          <t>Lighting Sone</t>
        </is>
      </c>
      <c r="B20" s="2" t="inlineStr">
        <is>
          <t>UK</t>
        </is>
      </c>
      <c r="C20" s="2" t="inlineStr">
        <is>
          <t>GBP</t>
        </is>
      </c>
      <c r="D20" s="16" t="n">
        <v>0</v>
      </c>
      <c r="E20" s="16" t="n">
        <v>0</v>
      </c>
    </row>
    <row r="21">
      <c r="A21" s="2" t="inlineStr">
        <is>
          <t>Homin GmbH</t>
        </is>
      </c>
      <c r="B21" s="2" t="inlineStr">
        <is>
          <t>Germany</t>
        </is>
      </c>
      <c r="C21" s="2" t="inlineStr">
        <is>
          <t>EUR</t>
        </is>
      </c>
      <c r="D21" s="17" t="n">
        <v>0</v>
      </c>
      <c r="E21" s="17" t="n">
        <v>0</v>
      </c>
    </row>
    <row r="22">
      <c r="A22" s="2" t="inlineStr">
        <is>
          <t>LEDSone UK</t>
        </is>
      </c>
      <c r="B22" s="2" t="inlineStr">
        <is>
          <t>Canada</t>
        </is>
      </c>
      <c r="C22" s="2" t="inlineStr">
        <is>
          <t>CAD</t>
        </is>
      </c>
      <c r="D22" s="19" t="n">
        <v>0</v>
      </c>
      <c r="E22" s="19" t="n">
        <v>0</v>
      </c>
    </row>
    <row r="23">
      <c r="A23" s="2" t="inlineStr">
        <is>
          <t>LEDSone UK</t>
        </is>
      </c>
      <c r="B23" s="2" t="inlineStr">
        <is>
          <t>Italy</t>
        </is>
      </c>
      <c r="C23" s="2" t="inlineStr">
        <is>
          <t>EUR</t>
        </is>
      </c>
      <c r="D23" s="17" t="n">
        <v>0</v>
      </c>
      <c r="E23" s="17" t="n">
        <v>0</v>
      </c>
    </row>
    <row r="24">
      <c r="A24" s="2" t="inlineStr">
        <is>
          <t>ElectricalSone UK</t>
        </is>
      </c>
      <c r="B24" s="2" t="inlineStr">
        <is>
          <t>France</t>
        </is>
      </c>
      <c r="C24" s="2" t="inlineStr">
        <is>
          <t>EUR</t>
        </is>
      </c>
      <c r="D24" s="17" t="n">
        <v>0</v>
      </c>
      <c r="E24" s="17" t="n">
        <v>0</v>
      </c>
    </row>
    <row r="25">
      <c r="A25" s="2" t="inlineStr">
        <is>
          <t>ElectricalSone UK</t>
        </is>
      </c>
      <c r="B25" s="2" t="inlineStr">
        <is>
          <t>Canada</t>
        </is>
      </c>
      <c r="C25" s="2" t="inlineStr">
        <is>
          <t>CAD</t>
        </is>
      </c>
      <c r="D25" s="19" t="n">
        <v>0</v>
      </c>
      <c r="E25" s="19" t="n">
        <v>0</v>
      </c>
    </row>
    <row r="26">
      <c r="A26" s="2" t="inlineStr">
        <is>
          <t>Sunsone</t>
        </is>
      </c>
      <c r="B26" s="2" t="inlineStr">
        <is>
          <t>France</t>
        </is>
      </c>
      <c r="C26" s="2" t="inlineStr">
        <is>
          <t>EUR</t>
        </is>
      </c>
      <c r="D26" s="17" t="n">
        <v>0</v>
      </c>
      <c r="E26" s="17" t="n">
        <v>0</v>
      </c>
    </row>
    <row r="27">
      <c r="A27" s="2" t="inlineStr">
        <is>
          <t>Bestbringer</t>
        </is>
      </c>
      <c r="B27" s="2" t="inlineStr">
        <is>
          <t>UK</t>
        </is>
      </c>
      <c r="C27" s="2" t="inlineStr">
        <is>
          <t>GBP</t>
        </is>
      </c>
      <c r="D27" s="16" t="n">
        <v>0</v>
      </c>
      <c r="E27" s="16" t="n">
        <v>12.96</v>
      </c>
    </row>
    <row r="28">
      <c r="A28" s="2" t="inlineStr">
        <is>
          <t>Sunsone</t>
        </is>
      </c>
      <c r="B28" s="2" t="inlineStr">
        <is>
          <t>US</t>
        </is>
      </c>
      <c r="C28" s="2" t="inlineStr">
        <is>
          <t>USD</t>
        </is>
      </c>
      <c r="D28" s="18" t="n">
        <v>0</v>
      </c>
      <c r="E28" s="18" t="n">
        <v>0</v>
      </c>
    </row>
    <row r="29">
      <c r="A29" s="2" t="inlineStr">
        <is>
          <t>LEDSone UK</t>
        </is>
      </c>
      <c r="B29" s="2" t="inlineStr">
        <is>
          <t>Spain</t>
        </is>
      </c>
      <c r="C29" s="2" t="inlineStr">
        <is>
          <t>EUR</t>
        </is>
      </c>
      <c r="D29" s="17" t="n">
        <v>0</v>
      </c>
      <c r="E29" s="17" t="n">
        <v>0</v>
      </c>
    </row>
    <row r="30">
      <c r="A30" s="2" t="inlineStr">
        <is>
          <t>LEDSone UK</t>
        </is>
      </c>
      <c r="B30" s="2" t="inlineStr">
        <is>
          <t>Netherlands</t>
        </is>
      </c>
      <c r="C30" s="2" t="inlineStr">
        <is>
          <t>EUR</t>
        </is>
      </c>
      <c r="D30" s="17" t="n">
        <v>0</v>
      </c>
      <c r="E30" s="17" t="n">
        <v>0</v>
      </c>
    </row>
    <row r="31">
      <c r="A31" s="2" t="inlineStr">
        <is>
          <t>Huetten Lampen DE</t>
        </is>
      </c>
      <c r="B31" s="2" t="inlineStr">
        <is>
          <t>Italy</t>
        </is>
      </c>
      <c r="C31" s="2" t="inlineStr">
        <is>
          <t>EUR</t>
        </is>
      </c>
      <c r="D31" s="17" t="n">
        <v>0</v>
      </c>
      <c r="E31" s="17" t="n">
        <v>0</v>
      </c>
    </row>
    <row r="32">
      <c r="A32" s="2" t="inlineStr">
        <is>
          <t>LEDSone DE</t>
        </is>
      </c>
      <c r="B32" s="2" t="inlineStr">
        <is>
          <t>UK</t>
        </is>
      </c>
      <c r="C32" s="2" t="inlineStr">
        <is>
          <t>GBP</t>
        </is>
      </c>
      <c r="D32" s="16" t="n">
        <v>0</v>
      </c>
      <c r="E32" s="16" t="n">
        <v>0</v>
      </c>
    </row>
    <row r="33">
      <c r="A33" s="2" t="inlineStr">
        <is>
          <t>ElectricalSone UK</t>
        </is>
      </c>
      <c r="B33" s="2" t="inlineStr">
        <is>
          <t>Italy</t>
        </is>
      </c>
      <c r="C33" s="2" t="inlineStr">
        <is>
          <t>EUR</t>
        </is>
      </c>
      <c r="D33" s="17" t="n">
        <v>0</v>
      </c>
      <c r="E33" s="1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94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1" t="inlineStr">
        <is>
          <t>REQ-17-D01 Daily Sales Track — sources, definitions, assumptions and gaps</t>
        </is>
      </c>
    </row>
    <row r="2">
      <c r="A2" t="inlineStr"/>
    </row>
    <row r="3">
      <c r="A3" t="inlineStr">
        <is>
          <t>SOURCE (locked by owner instruction 2026-07-23):</t>
        </is>
      </c>
    </row>
    <row r="4">
      <c r="A4" t="inlineStr">
        <is>
          <t xml:space="preserve">  Raw ledsone Postgres via the Ledsone DB MCP (https://mcp.ledsone.co.uk/mcp), read-only.</t>
        </is>
      </c>
    </row>
    <row r="5">
      <c r="A5" t="inlineStr">
        <is>
          <t xml:space="preserve">  Query patterns from the AIOS knowledge base (https://docs.ledsone.co.uk/mcp).</t>
        </is>
      </c>
    </row>
    <row r="6">
      <c r="A6" t="inlineStr">
        <is>
          <t xml:space="preserve">  The warehouse order_management_copy is OUT OF SCOPE for data retrieval.</t>
        </is>
      </c>
    </row>
    <row r="7">
      <c r="A7" t="inlineStr"/>
    </row>
    <row r="8">
      <c r="A8" t="inlineStr">
        <is>
          <t>GRAIN: one row per ACCOUNT x MARKETPLACE (30 rows). CHANGED 2026-07-23.</t>
        </is>
      </c>
    </row>
    <row r="9">
      <c r="A9" t="inlineStr">
        <is>
          <t xml:space="preserve">  It was one row per account. A Seller Hub check on 22 Jul showed LEDSone UK at GBP 837.93</t>
        </is>
      </c>
    </row>
    <row r="10">
      <c r="A10" t="inlineStr">
        <is>
          <t xml:space="preserve">  while the account row read GBP 1,144.51 - both correct, because the account row combined</t>
        </is>
      </c>
    </row>
    <row r="11">
      <c r="A11" t="inlineStr">
        <is>
          <t xml:space="preserve">  UK (837.93) and Germany (306.58). Seller Hub reports per marketplace, so this report now</t>
        </is>
      </c>
    </row>
    <row r="12">
      <c r="A12" t="inlineStr">
        <is>
          <t xml:space="preserve">  does too: EVERY ROW TIES TO ONE SELLER HUB SCREEN.</t>
        </is>
      </c>
    </row>
    <row r="13">
      <c r="A13" t="inlineStr">
        <is>
          <t xml:space="preserve">  Consequence: an account appears on several rows (LEDSone UK sells on 10 sites).</t>
        </is>
      </c>
    </row>
    <row r="14">
      <c r="A14" t="inlineStr"/>
    </row>
    <row r="15">
      <c r="A15" t="inlineStr">
        <is>
          <t>ANCHOR (decision B): a report generated on date R reports R-1 as "Today" and R-2 as "Yesterday".</t>
        </is>
      </c>
    </row>
    <row r="16">
      <c r="A16" t="inlineStr">
        <is>
          <t xml:space="preserve">  Generated 2026-08-18.  "Today" = 2026-08-17.  "Yesterday" = 2026-08-16.  Same Day LY = 2025-08-17.</t>
        </is>
      </c>
    </row>
    <row r="17">
      <c r="A17" t="inlineStr">
        <is>
          <t xml:space="preserve">  The column headers still read "Today's" / "Yesterday" - the dates above are what they mean.</t>
        </is>
      </c>
    </row>
    <row r="18">
      <c r="A18" t="inlineStr"/>
    </row>
    <row r="19">
      <c r="A19" t="inlineStr">
        <is>
          <t>SALES (decision M): every order PLACED on the day, excluding status 'Cancelled' only.</t>
        </is>
      </c>
    </row>
    <row r="20">
      <c r="A20" t="inlineStr">
        <is>
          <t xml:space="preserve">  Sales   = SUM(order_management.orders.total)   (order grain - one row per order)</t>
        </is>
      </c>
    </row>
    <row r="21">
      <c r="A21" t="inlineStr">
        <is>
          <t xml:space="preserve">  Orders  = COUNT(DISTINCT orders.id)</t>
        </is>
      </c>
    </row>
    <row r="22">
      <c r="A22" t="inlineStr">
        <is>
          <t xml:space="preserve">  Units   = SUM(CAST(order_item_info.item_quantity AS INT))</t>
        </is>
      </c>
    </row>
    <row r="23">
      <c r="A23" t="inlineStr">
        <is>
          <t xml:space="preserve">  Why not 'Completed' only: orders reach Completed about 2 days after purchase. On 2026-08-17</t>
        </is>
      </c>
    </row>
    <row r="24">
      <c r="A24" t="inlineStr">
        <is>
          <t xml:space="preserve">  only 36 of 142 orders (25.4%) had matured. Filtering on Completed would have reported</t>
        </is>
      </c>
    </row>
    <row r="25">
      <c r="A25" t="inlineStr">
        <is>
          <t xml:space="preserve">  GBP 928.58 instead of GBP 2,983.35 - a 69% understatement that reads as a crash.</t>
        </is>
      </c>
    </row>
    <row r="26">
      <c r="A26" t="inlineStr"/>
    </row>
    <row r="27">
      <c r="A27" t="inlineStr">
        <is>
          <t>!! DOES NOT TIE TO EBPD (REQ-13). That monthly dashboard counts Completed only, and is built</t>
        </is>
      </c>
    </row>
    <row r="28">
      <c r="A28" t="inlineStr">
        <is>
          <t xml:space="preserve">   from the warehouse mirror, which diverges from live ledsone by roughly 0.2-0.4%.</t>
        </is>
      </c>
    </row>
    <row r="29">
      <c r="A29" t="inlineStr"/>
    </row>
    <row r="30">
      <c r="A30" t="inlineStr">
        <is>
          <t>SCOPE (decision G): all eBay accounts. Universe = every account x site with live listings.</t>
        </is>
      </c>
    </row>
    <row r="31">
      <c r="A31" t="inlineStr"/>
    </row>
    <row r="32">
      <c r="A32" t="inlineStr">
        <is>
          <t>AH / PH (decision A): AH is the PH remainder. A live listing with no portfolio-holder category</t>
        </is>
      </c>
    </row>
    <row r="33">
      <c r="A33" t="inlineStr">
        <is>
          <t xml:space="preserve">  assignment belongs to the account holder, so AH Listing + PH Listing = Active Listing on every row.</t>
        </is>
      </c>
    </row>
    <row r="34">
      <c r="A34" t="inlineStr">
        <is>
          <t xml:space="preserve">  Live totals: 14,606 listings = 2,750 PH + 11,856 AH across 30 account x marketplace rows.</t>
        </is>
      </c>
    </row>
    <row r="35">
      <c r="A35" t="inlineStr">
        <is>
          <t xml:space="preserve">  Listing filter is all_list = 1 AND is_ended = 0, per the AIOS knowledge base, which states</t>
        </is>
      </c>
    </row>
    <row r="36">
      <c r="A36" t="inlineStr">
        <is>
          <t xml:space="preserve">  explicitly: do not use is_child / is_parent combinations (decision K).</t>
        </is>
      </c>
    </row>
    <row r="37">
      <c r="A37" t="inlineStr">
        <is>
          <t xml:space="preserve">  !! ONE live listing carries a NULL site and cannot be placed in a marketplace. It is excluded,</t>
        </is>
      </c>
    </row>
    <row r="38">
      <c r="A38" t="inlineStr">
        <is>
          <t xml:space="preserve">     which is why the total is 14,606 here against 14,607 at account grain.</t>
        </is>
      </c>
    </row>
    <row r="39">
      <c r="A39" t="inlineStr"/>
    </row>
    <row r="40">
      <c r="A40" t="inlineStr">
        <is>
          <t>!! ACTIVE LISTING IS UNDERSTATED BY ROUGHLY 5-6% - DO NOT QUOTE IT AGAINST SELLER HUB.</t>
        </is>
      </c>
    </row>
    <row r="41">
      <c r="A41" t="inlineStr">
        <is>
          <t xml:space="preserve">   Measured 2026-07-23 against eBay Seller Hub for led_sone:</t>
        </is>
      </c>
    </row>
    <row r="42">
      <c r="A42" t="inlineStr">
        <is>
          <t xml:space="preserve">     eBay active, UK site      3,033   |  this report  2,843   (-190)</t>
        </is>
      </c>
    </row>
    <row r="43">
      <c r="A43" t="inlineStr">
        <is>
          <t xml:space="preserve">     eBay active, all sites    6,883   |  this report  6,510   (-373)</t>
        </is>
      </c>
    </row>
    <row r="44">
      <c r="A44" t="inlineStr">
        <is>
          <t xml:space="preserve">   Cause: the ledsone listings mirror flags a listing is_ended=1 when its end_date passes, but</t>
        </is>
      </c>
    </row>
    <row r="45">
      <c r="A45" t="inlineStr">
        <is>
          <t xml:space="preserve">   eBay AUTO-RENEWS Good-Til-Cancelled listings and the flag is not cleared until a full</t>
        </is>
      </c>
    </row>
    <row r="46">
      <c r="A46" t="inlineStr">
        <is>
          <t xml:space="preserve">   re-sync. The mirror holds 3,450 UK item_ids for led_sone and calls 606 ended; if eBay is</t>
        </is>
      </c>
    </row>
    <row r="47">
      <c r="A47" t="inlineStr">
        <is>
          <t xml:space="preserve">   right only ~417 are. It is NOT a sync outage (68,033 rows updated in the last 24h) and NOT</t>
        </is>
      </c>
    </row>
    <row r="48">
      <c r="A48" t="inlineStr">
        <is>
          <t xml:space="preserve">   a date bug (only 1 listing is flagged ended with a future end_date).</t>
        </is>
      </c>
    </row>
    <row r="49">
      <c r="A49" t="inlineStr">
        <is>
          <t xml:space="preserve">   This is a defect in the listings sync, outside this report. Sales / orders / units / AOV are</t>
        </is>
      </c>
    </row>
    <row r="50">
      <c r="A50" t="inlineStr">
        <is>
          <t xml:space="preserve">   unaffected - they come from the orders table and are externally verified.</t>
        </is>
      </c>
    </row>
    <row r="51">
      <c r="A51" t="inlineStr">
        <is>
          <t xml:space="preserve">   AH Listing and PH Listing split the same understated total, so their PROPORTIONS hold but</t>
        </is>
      </c>
    </row>
    <row r="52">
      <c r="A52" t="inlineStr">
        <is>
          <t xml:space="preserve">   their absolute counts inherit the same shortfall.</t>
        </is>
      </c>
    </row>
    <row r="53">
      <c r="A53" t="inlineStr"/>
    </row>
    <row r="54">
      <c r="A54" t="inlineStr">
        <is>
          <t xml:space="preserve">   CORRECTION 2026-07-23: an earlier draft of this note said the gap to REQ-16 (ESNM, 11,156)</t>
        </is>
      </c>
    </row>
    <row r="55">
      <c r="A55" t="inlineStr">
        <is>
          <t xml:space="preserve">   was 'a corrected definition plus a wider scope'. That was WRONG about the definition.</t>
        </is>
      </c>
    </row>
    <row r="56">
      <c r="A56" t="inlineStr">
        <is>
          <t xml:space="preserve">   Measured: all_list=1 gives 14,607 and is_child=0 gives 14,602 across all sites - 5 listings</t>
        </is>
      </c>
    </row>
    <row r="57">
      <c r="A57" t="inlineStr">
        <is>
          <t xml:space="preserve">   apart, 0.03%. On UK+DE they are 11,175 vs 11,176. The two rules are effectively identical;</t>
        </is>
      </c>
    </row>
    <row r="58">
      <c r="A58" t="inlineStr">
        <is>
          <t xml:space="preserve">   the gap to ESNM is ~99.97% SCOPE (all sites here vs UK+DE there), not definition.</t>
        </is>
      </c>
    </row>
    <row r="59">
      <c r="A59" t="inlineStr">
        <is>
          <t xml:space="preserve">   all_list=1 is still the filter used, because the AIOS knowledge base mandates it.</t>
        </is>
      </c>
    </row>
    <row r="60">
      <c r="A60" t="inlineStr"/>
    </row>
    <row r="61">
      <c r="A61" t="inlineStr">
        <is>
          <t>!! AH/PH SALES ARE LINE-LEVEL and will NOT sum exactly to Today's Sales. Today's Sales is the</t>
        </is>
      </c>
    </row>
    <row r="62">
      <c r="A62" t="inlineStr">
        <is>
          <t xml:space="preserve">   order grand total (includes postage, discounts); AH and PH sales are SUM(qty x item price)</t>
        </is>
      </c>
    </row>
    <row r="63">
      <c r="A63" t="inlineStr">
        <is>
          <t xml:space="preserve">   attributed per listing. MEASURED: +GBP 25.35 channel-wide, or 0.85%. Postage and discount,</t>
        </is>
      </c>
    </row>
    <row r="64">
      <c r="A64" t="inlineStr">
        <is>
          <t xml:space="preserve">   not an error.</t>
        </is>
      </c>
    </row>
    <row r="65">
      <c r="A65" t="inlineStr"/>
    </row>
    <row r="66">
      <c r="A66" t="inlineStr">
        <is>
          <t>!! UNITS IS DEFINITION-SENSITIVE. Units Sold = SUM(item_quantity), the AIOS knowledge base's</t>
        </is>
      </c>
    </row>
    <row r="67">
      <c r="A67" t="inlineStr">
        <is>
          <t xml:space="preserve">   canonical choice. order_item_info also carries real_qty; using it gives 222 rather than 223</t>
        </is>
      </c>
    </row>
    <row r="68">
      <c r="A68" t="inlineStr">
        <is>
          <t xml:space="preserve">   for this day - exactly 1 of 152 order lines differs. REQ-16 used COALESCE(real_qty,</t>
        </is>
      </c>
    </row>
    <row r="69">
      <c r="A69" t="inlineStr">
        <is>
          <t xml:space="preserve">   item_quantity). Flagged for the Business Validator; not a defect.</t>
        </is>
      </c>
    </row>
    <row r="70">
      <c r="A70" t="inlineStr"/>
    </row>
    <row r="71">
      <c r="A71" t="inlineStr">
        <is>
          <t>SAME DAY LY (decision C): the same CALENDAR date one year earlier, so the weekday differs</t>
        </is>
      </c>
    </row>
    <row r="72">
      <c r="A72" t="inlineStr">
        <is>
          <t xml:space="preserve">  (2026-08-17 was a Monday; 2025-08-17 was a Sunday). Day-of-week effects are present in this comparison.</t>
        </is>
      </c>
    </row>
    <row r="73">
      <c r="A73" t="inlineStr"/>
    </row>
    <row r="74">
      <c r="A74" t="inlineStr">
        <is>
          <t>UNITS (decision H): R-1 only. There is deliberately no prior-day or last-year unit figure.</t>
        </is>
      </c>
    </row>
    <row r="75">
      <c r="A75" t="inlineStr"/>
    </row>
    <row r="76">
      <c r="A76" t="inlineStr">
        <is>
          <t>SNAPSHOT (decision I): this output REPLACES the previous one each morning. No history is kept.</t>
        </is>
      </c>
    </row>
    <row r="77">
      <c r="A77" t="inlineStr"/>
    </row>
    <row r="78">
      <c r="A78" t="inlineStr">
        <is>
          <t>TRENDS (decision E - STILL OPEN): band is editable on the Config sheet, provisionally +/-5%.</t>
        </is>
      </c>
    </row>
    <row r="79">
      <c r="A79" t="inlineStr">
        <is>
          <t xml:space="preserve">  Both periods zero renders blank, not 'Stable' - 'Stable' would imply trading took place.</t>
        </is>
      </c>
    </row>
    <row r="80">
      <c r="A80" t="inlineStr"/>
    </row>
    <row r="81">
      <c r="A81" t="inlineStr">
        <is>
          <t>ZERO vs BLANK: 0 means measured zero. Blank means not applicable or nothing to compare.</t>
        </is>
      </c>
    </row>
    <row r="82">
      <c r="A82" t="inlineStr"/>
    </row>
    <row r="83">
      <c r="A83" t="inlineStr">
        <is>
          <t>REMOVED: 'Best Seller' was dropped on the owner's instruction 2026-07-23 (decision D).</t>
        </is>
      </c>
    </row>
    <row r="84">
      <c r="A84" t="inlineStr"/>
    </row>
    <row r="85">
      <c r="A85" t="inlineStr">
        <is>
          <t>ADDED: 'Market' (col 2) and 'AH Holder' (col 23) are NOT in the source sheet. Market comes from</t>
        </is>
      </c>
    </row>
    <row r="86">
      <c r="A86" t="inlineStr">
        <is>
          <t xml:space="preserve">  the grain change; AH Holder was added on owner request so a reader can see who owns a falling</t>
        </is>
      </c>
    </row>
    <row r="87">
      <c r="A87" t="inlineStr">
        <is>
          <t xml:space="preserve">  row without leaving the sheet. AH Holder is a MANUAL map - no database holds an</t>
        </is>
      </c>
    </row>
    <row r="88">
      <c r="A88" t="inlineStr">
        <is>
          <t xml:space="preserve">  account-to-staff assignment - and must be maintained by hand.</t>
        </is>
      </c>
    </row>
    <row r="89">
      <c r="A89" t="inlineStr">
        <is>
          <t xml:space="preserve">  Sunsone's two holders now sit on their own rows: Powsteena on Sunsone/UK, Sivajitha on</t>
        </is>
      </c>
    </row>
    <row r="90">
      <c r="A90" t="inlineStr">
        <is>
          <t xml:space="preserve">  Sunsone/Germany. Thinesh originally wrote 'Jarshini', which matches nobody (staff.users holds</t>
        </is>
      </c>
    </row>
    <row r="91">
      <c r="A91" t="inlineStr">
        <is>
          <t xml:space="preserve">  Jarsini id 91 AND Jasmini id 84); he confirmed Jarsini on 2026-07-23.</t>
        </is>
      </c>
    </row>
    <row r="92">
      <c r="A92" t="inlineStr"/>
    </row>
    <row r="93">
      <c r="A93" t="inlineStr">
        <is>
          <t>STILL OPEN: E (trend band) - J (recipients and delivery time) - O (possible duplicate: a</t>
        </is>
      </c>
    </row>
    <row r="94">
      <c r="A94" t="inlineStr">
        <is>
          <t xml:space="preserve">  Portfolio Holder dashboard app already exists in the ph_dashboard database).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2026-08-18T03:50:20Z</dcterms:created>
  <dcterms:modified xmlns:dcterms="http://purl.org/dc/terms/" xmlns:xsi="http://www.w3.org/2001/XMLSchema-instance" xsi:type="dcterms:W3CDTF">2026-08-18T03:50:20Z</dcterms:modified>
</cp:coreProperties>
</file>