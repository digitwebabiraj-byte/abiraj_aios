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46236</v>
      </c>
      <c r="E2" s="4" t="n">
        <v>1128.69</v>
      </c>
      <c r="F2" s="4" t="n">
        <v>932.88</v>
      </c>
      <c r="G2" s="4">
        <f>E2-F2</f>
        <v/>
      </c>
      <c r="H2" s="5">
        <f>IF(F2=0,"",(E2-F2)/F2)</f>
        <v/>
      </c>
      <c r="I2" s="4" t="n">
        <v>1070.98</v>
      </c>
      <c r="J2" s="6" t="n">
        <v>64</v>
      </c>
      <c r="K2" s="6" t="n">
        <v>53</v>
      </c>
      <c r="L2" s="5">
        <f>IF(K2=0,"",(J2-K2)/K2)</f>
        <v/>
      </c>
      <c r="M2" s="6" t="n">
        <v>74</v>
      </c>
      <c r="N2" s="6" t="n">
        <v>85</v>
      </c>
      <c r="O2" s="4">
        <f>IF(J2=0,"",E2/J2)</f>
        <v/>
      </c>
      <c r="P2" s="6" t="n">
        <v>3036</v>
      </c>
      <c r="Q2" s="6" t="n">
        <v>1731</v>
      </c>
      <c r="R2" s="4" t="n">
        <v>568.36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1305</v>
      </c>
      <c r="U2" s="4" t="n">
        <v>548.76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46236</v>
      </c>
      <c r="E3" s="4" t="n">
        <v>353.49</v>
      </c>
      <c r="F3" s="4" t="n">
        <v>549.5</v>
      </c>
      <c r="G3" s="4">
        <f>E3-F3</f>
        <v/>
      </c>
      <c r="H3" s="5">
        <f>IF(F3=0,"",(E3-F3)/F3)</f>
        <v/>
      </c>
      <c r="I3" s="4" t="n">
        <v>607.8200000000001</v>
      </c>
      <c r="J3" s="6" t="n">
        <v>21</v>
      </c>
      <c r="K3" s="6" t="n">
        <v>31</v>
      </c>
      <c r="L3" s="5">
        <f>IF(K3=0,"",(J3-K3)/K3)</f>
        <v/>
      </c>
      <c r="M3" s="6" t="n">
        <v>35</v>
      </c>
      <c r="N3" s="6" t="n">
        <v>32</v>
      </c>
      <c r="O3" s="4">
        <f>IF(J3=0,"",E3/J3)</f>
        <v/>
      </c>
      <c r="P3" s="6" t="n">
        <v>1678</v>
      </c>
      <c r="Q3" s="6" t="n">
        <v>1081</v>
      </c>
      <c r="R3" s="4" t="n">
        <v>222.27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597</v>
      </c>
      <c r="U3" s="4" t="n">
        <v>147.44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46236</v>
      </c>
      <c r="E4" s="7" t="n">
        <v>340.06</v>
      </c>
      <c r="F4" s="7" t="n">
        <v>259.33</v>
      </c>
      <c r="G4" s="7">
        <f>E4-F4</f>
        <v/>
      </c>
      <c r="H4" s="5">
        <f>IF(F4=0,"",(E4-F4)/F4)</f>
        <v/>
      </c>
      <c r="I4" s="7" t="n">
        <v>396.06</v>
      </c>
      <c r="J4" s="6" t="n">
        <v>12</v>
      </c>
      <c r="K4" s="6" t="n">
        <v>10</v>
      </c>
      <c r="L4" s="5">
        <f>IF(K4=0,"",(J4-K4)/K4)</f>
        <v/>
      </c>
      <c r="M4" s="6" t="n">
        <v>24</v>
      </c>
      <c r="N4" s="6" t="n">
        <v>30</v>
      </c>
      <c r="O4" s="7">
        <f>IF(J4=0,"",E4/J4)</f>
        <v/>
      </c>
      <c r="P4" s="6" t="n">
        <v>1441</v>
      </c>
      <c r="Q4" s="6" t="n">
        <v>1209</v>
      </c>
      <c r="R4" s="7" t="n">
        <v>273.58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232</v>
      </c>
      <c r="U4" s="7" t="n">
        <v>16.7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46236</v>
      </c>
      <c r="E5" s="4" t="n">
        <v>289.57</v>
      </c>
      <c r="F5" s="4" t="n">
        <v>300.45</v>
      </c>
      <c r="G5" s="4">
        <f>E5-F5</f>
        <v/>
      </c>
      <c r="H5" s="5">
        <f>IF(F5=0,"",(E5-F5)/F5)</f>
        <v/>
      </c>
      <c r="I5" s="4" t="n">
        <v>322.23</v>
      </c>
      <c r="J5" s="6" t="n">
        <v>16</v>
      </c>
      <c r="K5" s="6" t="n">
        <v>15</v>
      </c>
      <c r="L5" s="5">
        <f>IF(K5=0,"",(J5-K5)/K5)</f>
        <v/>
      </c>
      <c r="M5" s="6" t="n">
        <v>20</v>
      </c>
      <c r="N5" s="6" t="n">
        <v>24</v>
      </c>
      <c r="O5" s="4">
        <f>IF(J5=0,"",E5/J5)</f>
        <v/>
      </c>
      <c r="P5" s="6" t="n">
        <v>1187</v>
      </c>
      <c r="Q5" s="6" t="n">
        <v>718</v>
      </c>
      <c r="R5" s="4" t="n">
        <v>206.2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469</v>
      </c>
      <c r="U5" s="4" t="n">
        <v>78.81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46236</v>
      </c>
      <c r="E6" s="7" t="n">
        <v>275.07</v>
      </c>
      <c r="F6" s="7" t="n">
        <v>422.04</v>
      </c>
      <c r="G6" s="7">
        <f>E6-F6</f>
        <v/>
      </c>
      <c r="H6" s="5">
        <f>IF(F6=0,"",(E6-F6)/F6)</f>
        <v/>
      </c>
      <c r="I6" s="7" t="n">
        <v>273</v>
      </c>
      <c r="J6" s="6" t="n">
        <v>15</v>
      </c>
      <c r="K6" s="6" t="n">
        <v>10</v>
      </c>
      <c r="L6" s="5">
        <f>IF(K6=0,"",(J6-K6)/K6)</f>
        <v/>
      </c>
      <c r="M6" s="6" t="n">
        <v>14</v>
      </c>
      <c r="N6" s="6" t="n">
        <v>22</v>
      </c>
      <c r="O6" s="7">
        <f>IF(J6=0,"",E6/J6)</f>
        <v/>
      </c>
      <c r="P6" s="6" t="n">
        <v>653</v>
      </c>
      <c r="Q6" s="6" t="n">
        <v>569</v>
      </c>
      <c r="R6" s="7" t="n">
        <v>223.46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84</v>
      </c>
      <c r="U6" s="7" t="n">
        <v>48.65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46236</v>
      </c>
      <c r="E7" s="7" t="n">
        <v>0</v>
      </c>
      <c r="F7" s="7" t="n">
        <v>0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0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634</v>
      </c>
      <c r="Q7" s="6" t="n">
        <v>634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46236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594</v>
      </c>
      <c r="Q8" s="6" t="n">
        <v>594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3" t="n">
        <v>46236</v>
      </c>
      <c r="E9" s="4" t="n">
        <v>189.64</v>
      </c>
      <c r="F9" s="4" t="n">
        <v>256.34</v>
      </c>
      <c r="G9" s="4">
        <f>E9-F9</f>
        <v/>
      </c>
      <c r="H9" s="5">
        <f>IF(F9=0,"",(E9-F9)/F9)</f>
        <v/>
      </c>
      <c r="I9" s="4" t="n">
        <v>229.19</v>
      </c>
      <c r="J9" s="6" t="n">
        <v>9</v>
      </c>
      <c r="K9" s="6" t="n">
        <v>17</v>
      </c>
      <c r="L9" s="5">
        <f>IF(K9=0,"",(J9-K9)/K9)</f>
        <v/>
      </c>
      <c r="M9" s="6" t="n">
        <v>16</v>
      </c>
      <c r="N9" s="6" t="n">
        <v>11</v>
      </c>
      <c r="O9" s="4">
        <f>IF(J9=0,"",E9/J9)</f>
        <v/>
      </c>
      <c r="P9" s="6" t="n">
        <v>579</v>
      </c>
      <c r="Q9" s="6" t="n">
        <v>579</v>
      </c>
      <c r="R9" s="4" t="n">
        <v>186.65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0</v>
      </c>
      <c r="U9" s="4" t="n">
        <v>0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Genga</t>
        </is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3" t="n">
        <v>46236</v>
      </c>
      <c r="E10" s="7" t="n">
        <v>651.92</v>
      </c>
      <c r="F10" s="7" t="n">
        <v>179</v>
      </c>
      <c r="G10" s="7">
        <f>E10-F10</f>
        <v/>
      </c>
      <c r="H10" s="5">
        <f>IF(F10=0,"",(E10-F10)/F10)</f>
        <v/>
      </c>
      <c r="I10" s="7" t="n">
        <v>520.39</v>
      </c>
      <c r="J10" s="6" t="n">
        <v>30</v>
      </c>
      <c r="K10" s="6" t="n">
        <v>10</v>
      </c>
      <c r="L10" s="5">
        <f>IF(K10=0,"",(J10-K10)/K10)</f>
        <v/>
      </c>
      <c r="M10" s="6" t="n">
        <v>19</v>
      </c>
      <c r="N10" s="6" t="n">
        <v>39</v>
      </c>
      <c r="O10" s="7">
        <f>IF(J10=0,"",E10/J10)</f>
        <v/>
      </c>
      <c r="P10" s="6" t="n">
        <v>556</v>
      </c>
      <c r="Q10" s="6" t="n">
        <v>463</v>
      </c>
      <c r="R10" s="7" t="n">
        <v>608.15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93</v>
      </c>
      <c r="U10" s="7" t="n">
        <v>47.37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Jarsini</t>
        </is>
      </c>
    </row>
    <row r="11">
      <c r="A11" s="2" t="inlineStr">
        <is>
          <t>DC Transformer</t>
        </is>
      </c>
      <c r="B11" s="2" t="inlineStr">
        <is>
          <t>UK</t>
        </is>
      </c>
      <c r="C11" s="2" t="inlineStr">
        <is>
          <t>GBP</t>
        </is>
      </c>
      <c r="D11" s="3" t="n">
        <v>46236</v>
      </c>
      <c r="E11" s="4" t="n">
        <v>47.85</v>
      </c>
      <c r="F11" s="4" t="n">
        <v>43.83</v>
      </c>
      <c r="G11" s="4">
        <f>E11-F11</f>
        <v/>
      </c>
      <c r="H11" s="5">
        <f>IF(F11=0,"",(E11-F11)/F11)</f>
        <v/>
      </c>
      <c r="I11" s="4" t="n">
        <v>98.73</v>
      </c>
      <c r="J11" s="6" t="n">
        <v>5</v>
      </c>
      <c r="K11" s="6" t="n">
        <v>4</v>
      </c>
      <c r="L11" s="5">
        <f>IF(K11=0,"",(J11-K11)/K11)</f>
        <v/>
      </c>
      <c r="M11" s="6" t="n">
        <v>7</v>
      </c>
      <c r="N11" s="6" t="n">
        <v>11</v>
      </c>
      <c r="O11" s="4">
        <f>IF(J11=0,"",E11/J11)</f>
        <v/>
      </c>
      <c r="P11" s="6" t="n">
        <v>508</v>
      </c>
      <c r="Q11" s="6" t="n">
        <v>508</v>
      </c>
      <c r="R11" s="4" t="n">
        <v>50.29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0</v>
      </c>
      <c r="U11" s="4" t="n">
        <v>0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8" t="inlineStr">
        <is>
          <t>— not assigned</t>
        </is>
      </c>
    </row>
    <row r="12">
      <c r="A12" s="2" t="inlineStr">
        <is>
          <t>ElectricalSone UK</t>
        </is>
      </c>
      <c r="B12" s="2" t="inlineStr">
        <is>
          <t>Germany</t>
        </is>
      </c>
      <c r="C12" s="2" t="inlineStr">
        <is>
          <t>EUR</t>
        </is>
      </c>
      <c r="D12" s="3" t="n">
        <v>46236</v>
      </c>
      <c r="E12" s="7" t="n">
        <v>17.94</v>
      </c>
      <c r="F12" s="7" t="n">
        <v>29.61</v>
      </c>
      <c r="G12" s="7">
        <f>E12-F12</f>
        <v/>
      </c>
      <c r="H12" s="5">
        <f>IF(F12=0,"",(E12-F12)/F12)</f>
        <v/>
      </c>
      <c r="I12" s="7" t="n">
        <v>40.25</v>
      </c>
      <c r="J12" s="6" t="n">
        <v>1</v>
      </c>
      <c r="K12" s="6" t="n">
        <v>2</v>
      </c>
      <c r="L12" s="5">
        <f>IF(K12=0,"",(J12-K12)/K12)</f>
        <v/>
      </c>
      <c r="M12" s="6" t="n">
        <v>5</v>
      </c>
      <c r="N12" s="6" t="n">
        <v>1</v>
      </c>
      <c r="O12" s="7">
        <f>IF(J12=0,"",E12/J12)</f>
        <v/>
      </c>
      <c r="P12" s="6" t="n">
        <v>491</v>
      </c>
      <c r="Q12" s="6" t="n">
        <v>454</v>
      </c>
      <c r="R12" s="7" t="n">
        <v>10.66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37</v>
      </c>
      <c r="U12" s="7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2" t="inlineStr">
        <is>
          <t>Kobiga</t>
        </is>
      </c>
    </row>
    <row r="13">
      <c r="A13" s="2" t="inlineStr">
        <is>
          <t>Vintage Interior</t>
        </is>
      </c>
      <c r="B13" s="2" t="inlineStr">
        <is>
          <t>UK</t>
        </is>
      </c>
      <c r="C13" s="2" t="inlineStr">
        <is>
          <t>GBP</t>
        </is>
      </c>
      <c r="D13" s="3" t="n">
        <v>46236</v>
      </c>
      <c r="E13" s="4" t="n">
        <v>50.82</v>
      </c>
      <c r="F13" s="4" t="n">
        <v>89.38</v>
      </c>
      <c r="G13" s="4">
        <f>E13-F13</f>
        <v/>
      </c>
      <c r="H13" s="5">
        <f>IF(F13=0,"",(E13-F13)/F13)</f>
        <v/>
      </c>
      <c r="I13" s="4" t="n">
        <v>50.4</v>
      </c>
      <c r="J13" s="6" t="n">
        <v>4</v>
      </c>
      <c r="K13" s="6" t="n">
        <v>8</v>
      </c>
      <c r="L13" s="5">
        <f>IF(K13=0,"",(J13-K13)/K13)</f>
        <v/>
      </c>
      <c r="M13" s="6" t="n">
        <v>5</v>
      </c>
      <c r="N13" s="6" t="n">
        <v>6</v>
      </c>
      <c r="O13" s="4">
        <f>IF(J13=0,"",E13/J13)</f>
        <v/>
      </c>
      <c r="P13" s="6" t="n">
        <v>484</v>
      </c>
      <c r="Q13" s="6" t="n">
        <v>484</v>
      </c>
      <c r="R13" s="4" t="n">
        <v>52.48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46236</v>
      </c>
      <c r="E14" s="4" t="n">
        <v>25.63</v>
      </c>
      <c r="F14" s="4" t="n">
        <v>0</v>
      </c>
      <c r="G14" s="4">
        <f>E14-F14</f>
        <v/>
      </c>
      <c r="H14" s="5">
        <f>IF(F14=0,"",(E14-F14)/F14)</f>
        <v/>
      </c>
      <c r="I14" s="4" t="n">
        <v>45.37</v>
      </c>
      <c r="J14" s="6" t="n">
        <v>2</v>
      </c>
      <c r="K14" s="6" t="n">
        <v>0</v>
      </c>
      <c r="L14" s="5">
        <f>IF(K14=0,"",(J14-K14)/K14)</f>
        <v/>
      </c>
      <c r="M14" s="6" t="n">
        <v>3</v>
      </c>
      <c r="N14" s="6" t="n">
        <v>3</v>
      </c>
      <c r="O14" s="4">
        <f>IF(J14=0,"",E14/J14)</f>
        <v/>
      </c>
      <c r="P14" s="6" t="n">
        <v>433</v>
      </c>
      <c r="Q14" s="6" t="n">
        <v>433</v>
      </c>
      <c r="R14" s="4" t="n">
        <v>25.63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France</t>
        </is>
      </c>
      <c r="C15" s="2" t="inlineStr">
        <is>
          <t>EUR</t>
        </is>
      </c>
      <c r="D15" s="3" t="n">
        <v>46236</v>
      </c>
      <c r="E15" s="7" t="n">
        <v>0</v>
      </c>
      <c r="F15" s="7" t="n">
        <v>0</v>
      </c>
      <c r="G15" s="7">
        <f>E15-F15</f>
        <v/>
      </c>
      <c r="H15" s="5">
        <f>IF(F15=0,"",(E15-F15)/F15)</f>
        <v/>
      </c>
      <c r="I15" s="7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7">
        <f>IF(J15=0,"",E15/J15)</f>
        <v/>
      </c>
      <c r="P15" s="6" t="n">
        <v>431</v>
      </c>
      <c r="Q15" s="6" t="n">
        <v>431</v>
      </c>
      <c r="R15" s="7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0</v>
      </c>
      <c r="U15" s="7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LEDSone UK</t>
        </is>
      </c>
      <c r="B16" s="2" t="inlineStr">
        <is>
          <t>US</t>
        </is>
      </c>
      <c r="C16" s="2" t="inlineStr">
        <is>
          <t>USD</t>
        </is>
      </c>
      <c r="D16" s="3" t="n">
        <v>46236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0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393</v>
      </c>
      <c r="Q16" s="6" t="n">
        <v>355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38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Sharmilan</t>
        </is>
      </c>
    </row>
    <row r="17">
      <c r="A17" s="2" t="inlineStr">
        <is>
          <t>ElectricalSone UK</t>
        </is>
      </c>
      <c r="B17" s="2" t="inlineStr">
        <is>
          <t>US</t>
        </is>
      </c>
      <c r="C17" s="2" t="inlineStr">
        <is>
          <t>USD</t>
        </is>
      </c>
      <c r="D17" s="3" t="n">
        <v>46236</v>
      </c>
      <c r="E17" s="9" t="n">
        <v>42.37</v>
      </c>
      <c r="F17" s="9" t="n">
        <v>0</v>
      </c>
      <c r="G17" s="9">
        <f>E17-F17</f>
        <v/>
      </c>
      <c r="H17" s="5">
        <f>IF(F17=0,"",(E17-F17)/F17)</f>
        <v/>
      </c>
      <c r="I17" s="9" t="n">
        <v>0</v>
      </c>
      <c r="J17" s="6" t="n">
        <v>2</v>
      </c>
      <c r="K17" s="6" t="n">
        <v>0</v>
      </c>
      <c r="L17" s="5">
        <f>IF(K17=0,"",(J17-K17)/K17)</f>
        <v/>
      </c>
      <c r="M17" s="6" t="n">
        <v>0</v>
      </c>
      <c r="N17" s="6" t="n">
        <v>2</v>
      </c>
      <c r="O17" s="9">
        <f>IF(J17=0,"",E17/J17)</f>
        <v/>
      </c>
      <c r="P17" s="6" t="n">
        <v>380</v>
      </c>
      <c r="Q17" s="6" t="n">
        <v>377</v>
      </c>
      <c r="R17" s="9" t="n">
        <v>39.49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3</v>
      </c>
      <c r="U17" s="9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Kobiga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46236</v>
      </c>
      <c r="E18" s="9" t="n">
        <v>0</v>
      </c>
      <c r="F18" s="9" t="n">
        <v>0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0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345</v>
      </c>
      <c r="Q18" s="6" t="n">
        <v>329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46236</v>
      </c>
      <c r="E19" s="7" t="n">
        <v>80.16</v>
      </c>
      <c r="F19" s="7" t="n">
        <v>126.54</v>
      </c>
      <c r="G19" s="7">
        <f>E19-F19</f>
        <v/>
      </c>
      <c r="H19" s="5">
        <f>IF(F19=0,"",(E19-F19)/F19)</f>
        <v/>
      </c>
      <c r="I19" s="7" t="n">
        <v>86.63</v>
      </c>
      <c r="J19" s="6" t="n">
        <v>3</v>
      </c>
      <c r="K19" s="6" t="n">
        <v>4</v>
      </c>
      <c r="L19" s="5">
        <f>IF(K19=0,"",(J19-K19)/K19)</f>
        <v/>
      </c>
      <c r="M19" s="6" t="n">
        <v>8</v>
      </c>
      <c r="N19" s="6" t="n">
        <v>6</v>
      </c>
      <c r="O19" s="7">
        <f>IF(J19=0,"",E19/J19)</f>
        <v/>
      </c>
      <c r="P19" s="6" t="n">
        <v>295</v>
      </c>
      <c r="Q19" s="6" t="n">
        <v>295</v>
      </c>
      <c r="R19" s="7" t="n">
        <v>67.37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46236</v>
      </c>
      <c r="E20" s="4" t="n">
        <v>6.49</v>
      </c>
      <c r="F20" s="4" t="n">
        <v>20.37</v>
      </c>
      <c r="G20" s="4">
        <f>E20-F20</f>
        <v/>
      </c>
      <c r="H20" s="5">
        <f>IF(F20=0,"",(E20-F20)/F20)</f>
        <v/>
      </c>
      <c r="I20" s="4" t="n">
        <v>56.94</v>
      </c>
      <c r="J20" s="6" t="n">
        <v>1</v>
      </c>
      <c r="K20" s="6" t="n">
        <v>1</v>
      </c>
      <c r="L20" s="5">
        <f>IF(K20=0,"",(J20-K20)/K20)</f>
        <v/>
      </c>
      <c r="M20" s="6" t="n">
        <v>3</v>
      </c>
      <c r="N20" s="6" t="n">
        <v>1</v>
      </c>
      <c r="O20" s="4">
        <f>IF(J20=0,"",E20/J20)</f>
        <v/>
      </c>
      <c r="P20" s="6" t="n">
        <v>263</v>
      </c>
      <c r="Q20" s="6" t="n">
        <v>263</v>
      </c>
      <c r="R20" s="4" t="n">
        <v>6.49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3" t="n">
        <v>46236</v>
      </c>
      <c r="E21" s="10" t="n">
        <v>0</v>
      </c>
      <c r="F21" s="10" t="n">
        <v>0</v>
      </c>
      <c r="G21" s="10">
        <f>E21-F21</f>
        <v/>
      </c>
      <c r="H21" s="5">
        <f>IF(F21=0,"",(E21-F21)/F21)</f>
        <v/>
      </c>
      <c r="I21" s="10" t="n">
        <v>0</v>
      </c>
      <c r="J21" s="6" t="n">
        <v>0</v>
      </c>
      <c r="K21" s="6" t="n">
        <v>0</v>
      </c>
      <c r="L21" s="5">
        <f>IF(K21=0,"",(J21-K21)/K21)</f>
        <v/>
      </c>
      <c r="M21" s="6" t="n">
        <v>0</v>
      </c>
      <c r="N21" s="6" t="n">
        <v>0</v>
      </c>
      <c r="O21" s="10">
        <f>IF(J21=0,"",E21/J21)</f>
        <v/>
      </c>
      <c r="P21" s="6" t="n">
        <v>184</v>
      </c>
      <c r="Q21" s="6" t="n">
        <v>184</v>
      </c>
      <c r="R21" s="10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10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2" t="inlineStr">
        <is>
          <t>Sharmilan</t>
        </is>
      </c>
    </row>
    <row r="22">
      <c r="A22" s="2" t="inlineStr">
        <is>
          <t>LEDSone UK</t>
        </is>
      </c>
      <c r="B22" s="2" t="inlineStr">
        <is>
          <t>Italy</t>
        </is>
      </c>
      <c r="C22" s="2" t="inlineStr">
        <is>
          <t>EUR</t>
        </is>
      </c>
      <c r="D22" s="3" t="n">
        <v>46236</v>
      </c>
      <c r="E22" s="7" t="n">
        <v>102.98</v>
      </c>
      <c r="F22" s="7" t="n">
        <v>0</v>
      </c>
      <c r="G22" s="7">
        <f>E22-F22</f>
        <v/>
      </c>
      <c r="H22" s="5">
        <f>IF(F22=0,"",(E22-F22)/F22)</f>
        <v/>
      </c>
      <c r="I22" s="7" t="n">
        <v>0</v>
      </c>
      <c r="J22" s="6" t="n">
        <v>1</v>
      </c>
      <c r="K22" s="6" t="n">
        <v>0</v>
      </c>
      <c r="L22" s="5">
        <f>IF(K22=0,"",(J22-K22)/K22)</f>
        <v/>
      </c>
      <c r="M22" s="6" t="n">
        <v>0</v>
      </c>
      <c r="N22" s="6" t="n">
        <v>4</v>
      </c>
      <c r="O22" s="7">
        <f>IF(J22=0,"",E22/J22)</f>
        <v/>
      </c>
      <c r="P22" s="6" t="n">
        <v>177</v>
      </c>
      <c r="Q22" s="6" t="n">
        <v>177</v>
      </c>
      <c r="R22" s="7" t="n">
        <v>71.28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0</v>
      </c>
      <c r="U22" s="7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Sharmilan</t>
        </is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3" t="n">
        <v>46236</v>
      </c>
      <c r="E23" s="7" t="n">
        <v>47.98</v>
      </c>
      <c r="F23" s="7" t="n">
        <v>10.99</v>
      </c>
      <c r="G23" s="7">
        <f>E23-F23</f>
        <v/>
      </c>
      <c r="H23" s="5">
        <f>IF(F23=0,"",(E23-F23)/F23)</f>
        <v/>
      </c>
      <c r="I23" s="7" t="n">
        <v>22.95</v>
      </c>
      <c r="J23" s="6" t="n">
        <v>2</v>
      </c>
      <c r="K23" s="6" t="n">
        <v>1</v>
      </c>
      <c r="L23" s="5">
        <f>IF(K23=0,"",(J23-K23)/K23)</f>
        <v/>
      </c>
      <c r="M23" s="6" t="n">
        <v>1</v>
      </c>
      <c r="N23" s="6" t="n">
        <v>2</v>
      </c>
      <c r="O23" s="7">
        <f>IF(J23=0,"",E23/J23)</f>
        <v/>
      </c>
      <c r="P23" s="6" t="n">
        <v>174</v>
      </c>
      <c r="Q23" s="6" t="n">
        <v>174</v>
      </c>
      <c r="R23" s="7" t="n">
        <v>47.98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8" t="inlineStr">
        <is>
          <t>— not assigned</t>
        </is>
      </c>
    </row>
    <row r="24">
      <c r="A24" s="2" t="inlineStr">
        <is>
          <t>ElectricalSone UK</t>
        </is>
      </c>
      <c r="B24" s="2" t="inlineStr">
        <is>
          <t>France</t>
        </is>
      </c>
      <c r="C24" s="2" t="inlineStr">
        <is>
          <t>EUR</t>
        </is>
      </c>
      <c r="D24" s="3" t="n">
        <v>46236</v>
      </c>
      <c r="E24" s="7" t="n">
        <v>0</v>
      </c>
      <c r="F24" s="7" t="n">
        <v>0</v>
      </c>
      <c r="G24" s="7">
        <f>E24-F24</f>
        <v/>
      </c>
      <c r="H24" s="5">
        <f>IF(F24=0,"",(E24-F24)/F24)</f>
        <v/>
      </c>
      <c r="I24" s="7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7">
        <f>IF(J24=0,"",E24/J24)</f>
        <v/>
      </c>
      <c r="P24" s="6" t="n">
        <v>170</v>
      </c>
      <c r="Q24" s="6" t="n">
        <v>151</v>
      </c>
      <c r="R24" s="7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19</v>
      </c>
      <c r="U24" s="7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ElectricalSone UK</t>
        </is>
      </c>
      <c r="B25" s="2" t="inlineStr">
        <is>
          <t>Canada</t>
        </is>
      </c>
      <c r="C25" s="2" t="inlineStr">
        <is>
          <t>CAD</t>
        </is>
      </c>
      <c r="D25" s="3" t="n">
        <v>46236</v>
      </c>
      <c r="E25" s="10" t="n">
        <v>0</v>
      </c>
      <c r="F25" s="10" t="n">
        <v>0</v>
      </c>
      <c r="G25" s="10">
        <f>E25-F25</f>
        <v/>
      </c>
      <c r="H25" s="5">
        <f>IF(F25=0,"",(E25-F25)/F25)</f>
        <v/>
      </c>
      <c r="I25" s="10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10">
        <f>IF(J25=0,"",E25/J25)</f>
        <v/>
      </c>
      <c r="P25" s="6" t="n">
        <v>154</v>
      </c>
      <c r="Q25" s="6" t="n">
        <v>154</v>
      </c>
      <c r="R25" s="10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10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Kobiga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46236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73</v>
      </c>
      <c r="Q26" s="6" t="n">
        <v>73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46236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46236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16</v>
      </c>
      <c r="Q28" s="6" t="n">
        <v>16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46236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Sunsone</t>
        </is>
      </c>
      <c r="B30" s="2" t="inlineStr">
        <is>
          <t>US</t>
        </is>
      </c>
      <c r="C30" s="2" t="inlineStr">
        <is>
          <t>USD</t>
        </is>
      </c>
      <c r="D30" s="3" t="n">
        <v>46236</v>
      </c>
      <c r="E30" s="9" t="n">
        <v>0</v>
      </c>
      <c r="F30" s="9" t="n">
        <v>0</v>
      </c>
      <c r="G30" s="9">
        <f>E30-F30</f>
        <v/>
      </c>
      <c r="H30" s="5">
        <f>IF(F30=0,"",(E30-F30)/F30)</f>
        <v/>
      </c>
      <c r="I30" s="9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9">
        <f>IF(J30=0,"",E30/J30)</f>
        <v/>
      </c>
      <c r="P30" s="6" t="n">
        <v>3</v>
      </c>
      <c r="Q30" s="6" t="n">
        <v>3</v>
      </c>
      <c r="R30" s="9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9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8" t="inlineStr">
        <is>
          <t>— not assigned</t>
        </is>
      </c>
    </row>
    <row r="31">
      <c r="A31" s="2" t="inlineStr">
        <is>
          <t>Huetten Lampen DE</t>
        </is>
      </c>
      <c r="B31" s="2" t="inlineStr">
        <is>
          <t>Italy</t>
        </is>
      </c>
      <c r="C31" s="2" t="inlineStr">
        <is>
          <t>EUR</t>
        </is>
      </c>
      <c r="D31" s="3" t="n">
        <v>46236</v>
      </c>
      <c r="E31" s="7" t="n">
        <v>0</v>
      </c>
      <c r="F31" s="7" t="n">
        <v>0</v>
      </c>
      <c r="G31" s="7">
        <f>E31-F31</f>
        <v/>
      </c>
      <c r="H31" s="5">
        <f>IF(F31=0,"",(E31-F31)/F31)</f>
        <v/>
      </c>
      <c r="I31" s="7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7">
        <f>IF(J31=0,"",E31/J31)</f>
        <v/>
      </c>
      <c r="P31" s="6" t="n">
        <v>2</v>
      </c>
      <c r="Q31" s="6" t="n">
        <v>2</v>
      </c>
      <c r="R31" s="7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7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  <row r="32">
      <c r="A32" s="2" t="inlineStr">
        <is>
          <t>LEDSone DE</t>
        </is>
      </c>
      <c r="B32" s="2" t="inlineStr">
        <is>
          <t>UK</t>
        </is>
      </c>
      <c r="C32" s="2" t="inlineStr">
        <is>
          <t>GBP</t>
        </is>
      </c>
      <c r="D32" s="3" t="n">
        <v>46236</v>
      </c>
      <c r="E32" s="4" t="n">
        <v>0</v>
      </c>
      <c r="F32" s="4" t="n">
        <v>0</v>
      </c>
      <c r="G32" s="4">
        <f>E32-F32</f>
        <v/>
      </c>
      <c r="H32" s="5">
        <f>IF(F32=0,"",(E32-F32)/F32)</f>
        <v/>
      </c>
      <c r="I32" s="4" t="n">
        <v>6.46</v>
      </c>
      <c r="J32" s="6" t="n">
        <v>0</v>
      </c>
      <c r="K32" s="6" t="n">
        <v>0</v>
      </c>
      <c r="L32" s="5">
        <f>IF(K32=0,"",(J32-K32)/K32)</f>
        <v/>
      </c>
      <c r="M32" s="6" t="n">
        <v>1</v>
      </c>
      <c r="N32" s="6" t="n">
        <v>0</v>
      </c>
      <c r="O32" s="4">
        <f>IF(J32=0,"",E32/J32)</f>
        <v/>
      </c>
      <c r="P32" s="6" t="n">
        <v>2</v>
      </c>
      <c r="Q32" s="6" t="n">
        <v>2</v>
      </c>
      <c r="R32" s="4" t="n">
        <v>0</v>
      </c>
      <c r="S32" s="2">
        <f>IF(AND('Engine Inputs'!E32=0,R32=0),"",IF('Engine Inputs'!E32=0,"📈 Up",IF((R32-'Engine Inputs'!E32)/'Engine Inputs'!E32&gt;Config!$B$2,"📈 Up",IF((R32-'Engine Inputs'!E32)/'Engine Inputs'!E32&lt;-Config!$B$2,"📉 Down","➡ Stable"))))</f>
        <v/>
      </c>
      <c r="T32" s="6" t="n">
        <v>0</v>
      </c>
      <c r="U32" s="4" t="n">
        <v>0</v>
      </c>
      <c r="V32" s="2">
        <f>IF(AND('Engine Inputs'!D32=0,U32=0),"",IF('Engine Inputs'!D32=0,"📈 Up",IF((U32-'Engine Inputs'!D32)/'Engine Inputs'!D32&gt;Config!$B$2,"📈 Up",IF((U32-'Engine Inputs'!D32)/'Engine Inputs'!D32&lt;-Config!$B$2,"📉 Down","➡ Stable"))))</f>
        <v/>
      </c>
      <c r="W32" s="2">
        <f>IF(AND(F32=0,E32=0),"",IF(F32=0,"📈 Up",IF((E32-F32)/F32&gt;Config!$B$2,"📈 Up",IF((E32-F32)/F32&lt;-Config!$B$2,"📉 Down","➡ Stable"))))</f>
        <v/>
      </c>
      <c r="X32" s="2" t="inlineStr">
        <is>
          <t>Jarsini</t>
        </is>
      </c>
    </row>
    <row r="33">
      <c r="A33" s="2" t="inlineStr">
        <is>
          <t>ElectricalSone UK</t>
        </is>
      </c>
      <c r="B33" s="2" t="inlineStr">
        <is>
          <t>Italy</t>
        </is>
      </c>
      <c r="C33" s="2" t="inlineStr">
        <is>
          <t>EUR</t>
        </is>
      </c>
      <c r="D33" s="3" t="n">
        <v>46236</v>
      </c>
      <c r="E33" s="7" t="n">
        <v>0</v>
      </c>
      <c r="F33" s="7" t="n">
        <v>0</v>
      </c>
      <c r="G33" s="7">
        <f>E33-F33</f>
        <v/>
      </c>
      <c r="H33" s="5">
        <f>IF(F33=0,"",(E33-F33)/F33)</f>
        <v/>
      </c>
      <c r="I33" s="7" t="n">
        <v>0</v>
      </c>
      <c r="J33" s="6" t="n">
        <v>0</v>
      </c>
      <c r="K33" s="6" t="n">
        <v>0</v>
      </c>
      <c r="L33" s="5">
        <f>IF(K33=0,"",(J33-K33)/K33)</f>
        <v/>
      </c>
      <c r="M33" s="6" t="n">
        <v>0</v>
      </c>
      <c r="N33" s="6" t="n">
        <v>0</v>
      </c>
      <c r="O33" s="7">
        <f>IF(J33=0,"",E33/J33)</f>
        <v/>
      </c>
      <c r="P33" s="6" t="n">
        <v>1</v>
      </c>
      <c r="Q33" s="6" t="n">
        <v>1</v>
      </c>
      <c r="R33" s="7" t="n">
        <v>0</v>
      </c>
      <c r="S33" s="2">
        <f>IF(AND('Engine Inputs'!E33=0,R33=0),"",IF('Engine Inputs'!E33=0,"📈 Up",IF((R33-'Engine Inputs'!E33)/'Engine Inputs'!E33&gt;Config!$B$2,"📈 Up",IF((R33-'Engine Inputs'!E33)/'Engine Inputs'!E33&lt;-Config!$B$2,"📉 Down","➡ Stable"))))</f>
        <v/>
      </c>
      <c r="T33" s="6" t="n">
        <v>0</v>
      </c>
      <c r="U33" s="7" t="n">
        <v>0</v>
      </c>
      <c r="V33" s="2">
        <f>IF(AND('Engine Inputs'!D33=0,U33=0),"",IF('Engine Inputs'!D33=0,"📈 Up",IF((U33-'Engine Inputs'!D33)/'Engine Inputs'!D33&gt;Config!$B$2,"📈 Up",IF((U33-'Engine Inputs'!D33)/'Engine Inputs'!D33&lt;-Config!$B$2,"📉 Down","➡ Stable"))))</f>
        <v/>
      </c>
      <c r="W33" s="2">
        <f>IF(AND(F33=0,E33=0),"",IF(F33=0,"📈 Up",IF((E33-F33)/F33&gt;Config!$B$2,"📈 Up",IF((E33-F33)/F33&lt;-Config!$B$2,"📉 Down","➡ Stable"))))</f>
        <v/>
      </c>
      <c r="X33" s="2" t="inlineStr">
        <is>
          <t>Kobiga</t>
        </is>
      </c>
    </row>
  </sheetData>
  <autoFilter ref="A1:X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46236</v>
      </c>
    </row>
    <row r="3">
      <c r="A3" t="inlineStr">
        <is>
          <t>Generated</t>
        </is>
      </c>
      <c r="B3" s="12" t="n">
        <v>46237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Track'!A2:A33)</f>
        <v/>
      </c>
    </row>
    <row r="7">
      <c r="A7" s="2" t="inlineStr">
        <is>
          <t>Total Sales Today — GBP</t>
        </is>
      </c>
      <c r="B7" s="4">
        <f>SUMIF('Daily Sales Track'!$C$2:$C$33,"GBP",'Daily Sales Track'!$E$2:$E$33)</f>
        <v/>
      </c>
    </row>
    <row r="8">
      <c r="A8" s="2" t="inlineStr">
        <is>
          <t>Total Sales Today — EUR</t>
        </is>
      </c>
      <c r="B8" s="7">
        <f>SUMIF('Daily Sales Track'!$C$2:$C$33,"EUR",'Daily Sales Track'!$E$2:$E$33)</f>
        <v/>
      </c>
    </row>
    <row r="9">
      <c r="A9" s="2" t="inlineStr">
        <is>
          <t>Total Sales Today — USD</t>
        </is>
      </c>
      <c r="B9" s="9">
        <f>SUMIF('Daily Sales Track'!$C$2:$C$33,"USD",'Daily Sales Track'!$E$2:$E$33)</f>
        <v/>
      </c>
    </row>
    <row r="10">
      <c r="A10" s="2" t="inlineStr">
        <is>
          <t>Total Sales Today — CAD</t>
        </is>
      </c>
      <c r="B10" s="10">
        <f>SUMIF('Daily Sales Track'!$C$2:$C$33,"CAD",'Daily Sales Track'!$E$2:$E$33)</f>
        <v/>
      </c>
    </row>
    <row r="11">
      <c r="A11" s="2" t="inlineStr">
        <is>
          <t>Total Sales Yesterday — GBP</t>
        </is>
      </c>
      <c r="B11" s="4">
        <f>SUMIF('Daily Sales Track'!$C$2:$C$33,"GBP",'Daily Sales Track'!$F$2:$F$33)</f>
        <v/>
      </c>
    </row>
    <row r="12">
      <c r="A12" s="2" t="inlineStr">
        <is>
          <t>Total Sales Yesterday — EUR</t>
        </is>
      </c>
      <c r="B12" s="7">
        <f>SUMIF('Daily Sales Track'!$C$2:$C$33,"EUR",'Daily Sales Track'!$F$2:$F$33)</f>
        <v/>
      </c>
    </row>
    <row r="13">
      <c r="A13" s="2" t="inlineStr">
        <is>
          <t>Total Sales Yesterday — USD</t>
        </is>
      </c>
      <c r="B13" s="9">
        <f>SUMIF('Daily Sales Track'!$C$2:$C$33,"USD",'Daily Sales Track'!$F$2:$F$33)</f>
        <v/>
      </c>
    </row>
    <row r="14">
      <c r="A14" s="2" t="inlineStr">
        <is>
          <t>Total Sales Yesterday — CAD</t>
        </is>
      </c>
      <c r="B14" s="10">
        <f>SUMIF('Daily Sales Track'!$C$2:$C$33,"CAD",'Daily Sales Track'!$F$2:$F$33)</f>
        <v/>
      </c>
    </row>
    <row r="15">
      <c r="A15" s="2" t="inlineStr">
        <is>
          <t>Same Day LY Sales — GBP</t>
        </is>
      </c>
      <c r="B15" s="4">
        <f>SUMIF('Daily Sales Track'!$C$2:$C$33,"GBP",'Daily Sales Track'!$I$2:$I$33)</f>
        <v/>
      </c>
    </row>
    <row r="16">
      <c r="A16" s="2" t="inlineStr">
        <is>
          <t>Same Day LY Sales — EUR</t>
        </is>
      </c>
      <c r="B16" s="7">
        <f>SUMIF('Daily Sales Track'!$C$2:$C$33,"EUR",'Daily Sales Track'!$I$2:$I$33)</f>
        <v/>
      </c>
    </row>
    <row r="17">
      <c r="A17" s="2" t="inlineStr">
        <is>
          <t>Same Day LY Sales — USD</t>
        </is>
      </c>
      <c r="B17" s="9">
        <f>SUMIF('Daily Sales Track'!$C$2:$C$33,"USD",'Daily Sales Track'!$I$2:$I$33)</f>
        <v/>
      </c>
    </row>
    <row r="18">
      <c r="A18" s="2" t="inlineStr">
        <is>
          <t>Same Day LY Sales — CAD</t>
        </is>
      </c>
      <c r="B18" s="10">
        <f>SUMIF('Daily Sales Track'!$C$2:$C$33,"CAD",'Daily Sales Track'!$I$2:$I$33)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Track'!J2:J33)</f>
        <v/>
      </c>
    </row>
    <row r="24">
      <c r="A24" s="2" t="inlineStr">
        <is>
          <t>Yesterday Orders</t>
        </is>
      </c>
      <c r="B24" s="6">
        <f>SUM('Daily Sales Track'!K2:K33)</f>
        <v/>
      </c>
    </row>
    <row r="25">
      <c r="A25" s="2" t="inlineStr">
        <is>
          <t>Total Units Sold</t>
        </is>
      </c>
      <c r="B25" s="6">
        <f>SUM('Daily Sales Track'!N2:N33)</f>
        <v/>
      </c>
    </row>
    <row r="26">
      <c r="A26" s="2" t="inlineStr">
        <is>
          <t>Avg Order Value — GBP</t>
        </is>
      </c>
      <c r="B26" s="4">
        <f>IF(SUMIF('Daily Sales Track'!$C$2:$C$33,"GBP",'Daily Sales Track'!$J$2:$J$33)=0,"",SUMIF('Daily Sales Track'!$C$2:$C$33,"GBP",'Daily Sales Track'!$E$2:$E$33)/SUMIF('Daily Sales Track'!$C$2:$C$33,"GBP",'Daily Sales Track'!$J$2:$J$33))</f>
        <v/>
      </c>
    </row>
    <row r="27">
      <c r="A27" s="2" t="inlineStr">
        <is>
          <t>Avg Order Value — EUR</t>
        </is>
      </c>
      <c r="B27" s="7">
        <f>IF(SUMIF('Daily Sales Track'!$C$2:$C$33,"EUR",'Daily Sales Track'!$J$2:$J$33)=0,"",SUMIF('Daily Sales Track'!$C$2:$C$33,"EUR",'Daily Sales Track'!$E$2:$E$33)/SUMIF('Daily Sales Track'!$C$2:$C$33,"EUR",'Daily Sales Track'!$J$2:$J$33))</f>
        <v/>
      </c>
    </row>
    <row r="28">
      <c r="A28" s="2" t="inlineStr">
        <is>
          <t>Avg Order Value — USD</t>
        </is>
      </c>
      <c r="B28" s="9">
        <f>IF(SUMIF('Daily Sales Track'!$C$2:$C$33,"USD",'Daily Sales Track'!$J$2:$J$33)=0,"",SUMIF('Daily Sales Track'!$C$2:$C$33,"USD",'Daily Sales Track'!$E$2:$E$33)/SUMIF('Daily Sales Track'!$C$2:$C$33,"USD",'Daily Sales Track'!$J$2:$J$33))</f>
        <v/>
      </c>
    </row>
    <row r="29">
      <c r="A29" s="2" t="inlineStr">
        <is>
          <t>Avg Order Value — CAD</t>
        </is>
      </c>
      <c r="B29" s="10">
        <f>IF(SUMIF('Daily Sales Track'!$C$2:$C$33,"CAD",'Daily Sales Track'!$J$2:$J$33)=0,"",SUMIF('Daily Sales Track'!$C$2:$C$33,"CAD",'Daily Sales Track'!$E$2:$E$33)/SUMIF('Daily Sales Track'!$C$2:$C$33,"CAD",'Daily Sales Track'!$J$2:$J$33))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2026-08-01</t>
        </is>
      </c>
      <c r="E1" s="13" t="inlineStr">
        <is>
          <t>AH Sales 2026-08-01</t>
        </is>
      </c>
      <c r="F1" s="15" t="inlineStr">
        <is>
          <t>Prior-day (R-2) AH / PH sales - these drive the AH Sales Trend and PH Sales Trend columns. Rows 2..33 align 1:1 with 'Daily Sales Track' rows 2..33;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684.66</v>
      </c>
      <c r="E2" s="16" t="n">
        <v>259.71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296.46</v>
      </c>
      <c r="E3" s="16" t="n">
        <v>275.49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37.57</v>
      </c>
      <c r="E4" s="17" t="n">
        <v>152.71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134.89</v>
      </c>
      <c r="E5" s="16" t="n">
        <v>142.53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0</v>
      </c>
      <c r="E6" s="17" t="n">
        <v>429.05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0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16" t="n">
        <v>0</v>
      </c>
      <c r="E9" s="16" t="n">
        <v>228.49</v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17" t="n">
        <v>27.53</v>
      </c>
      <c r="E10" s="17" t="n">
        <v>149.38</v>
      </c>
    </row>
    <row r="11">
      <c r="A11" s="2" t="inlineStr">
        <is>
          <t>DC Transformer</t>
        </is>
      </c>
      <c r="B11" s="2" t="inlineStr">
        <is>
          <t>UK</t>
        </is>
      </c>
      <c r="C11" s="2" t="inlineStr">
        <is>
          <t>GBP</t>
        </is>
      </c>
      <c r="D11" s="16" t="n">
        <v>0</v>
      </c>
      <c r="E11" s="16" t="n">
        <v>47.48</v>
      </c>
    </row>
    <row r="12">
      <c r="A12" s="2" t="inlineStr">
        <is>
          <t>ElectricalSone UK</t>
        </is>
      </c>
      <c r="B12" s="2" t="inlineStr">
        <is>
          <t>Germany</t>
        </is>
      </c>
      <c r="C12" s="2" t="inlineStr">
        <is>
          <t>EUR</t>
        </is>
      </c>
      <c r="D12" s="17" t="n">
        <v>0</v>
      </c>
      <c r="E12" s="17" t="n">
        <v>14.97</v>
      </c>
    </row>
    <row r="13">
      <c r="A13" s="2" t="inlineStr">
        <is>
          <t>Vintage Interior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87.95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0</v>
      </c>
    </row>
    <row r="15">
      <c r="A15" s="2" t="inlineStr">
        <is>
          <t>LEDSone UK</t>
        </is>
      </c>
      <c r="B15" s="2" t="inlineStr">
        <is>
          <t>France</t>
        </is>
      </c>
      <c r="C15" s="2" t="inlineStr">
        <is>
          <t>EUR</t>
        </is>
      </c>
      <c r="D15" s="17" t="n">
        <v>0</v>
      </c>
      <c r="E15" s="17" t="n">
        <v>0</v>
      </c>
    </row>
    <row r="16">
      <c r="A16" s="2" t="inlineStr">
        <is>
          <t>LEDSone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ElectricalSone UK</t>
        </is>
      </c>
      <c r="B17" s="2" t="inlineStr">
        <is>
          <t>US</t>
        </is>
      </c>
      <c r="C17" s="2" t="inlineStr">
        <is>
          <t>USD</t>
        </is>
      </c>
      <c r="D17" s="18" t="n">
        <v>0</v>
      </c>
      <c r="E17" s="18" t="n">
        <v>0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0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100.22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20.37</v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19" t="n">
        <v>0</v>
      </c>
      <c r="E21" s="19" t="n">
        <v>0</v>
      </c>
    </row>
    <row r="22">
      <c r="A22" s="2" t="inlineStr">
        <is>
          <t>LEDSone UK</t>
        </is>
      </c>
      <c r="B22" s="2" t="inlineStr">
        <is>
          <t>Italy</t>
        </is>
      </c>
      <c r="C22" s="2" t="inlineStr">
        <is>
          <t>EUR</t>
        </is>
      </c>
      <c r="D22" s="17" t="n">
        <v>0</v>
      </c>
      <c r="E22" s="17" t="n">
        <v>0</v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17" t="n">
        <v>0</v>
      </c>
      <c r="E23" s="17" t="n">
        <v>10.99</v>
      </c>
    </row>
    <row r="24">
      <c r="A24" s="2" t="inlineStr">
        <is>
          <t>ElectricalSone UK</t>
        </is>
      </c>
      <c r="B24" s="2" t="inlineStr">
        <is>
          <t>France</t>
        </is>
      </c>
      <c r="C24" s="2" t="inlineStr">
        <is>
          <t>EUR</t>
        </is>
      </c>
      <c r="D24" s="17" t="n">
        <v>0</v>
      </c>
      <c r="E24" s="17" t="n">
        <v>0</v>
      </c>
    </row>
    <row r="25">
      <c r="A25" s="2" t="inlineStr">
        <is>
          <t>ElectricalSone UK</t>
        </is>
      </c>
      <c r="B25" s="2" t="inlineStr">
        <is>
          <t>Canada</t>
        </is>
      </c>
      <c r="C25" s="2" t="inlineStr">
        <is>
          <t>CAD</t>
        </is>
      </c>
      <c r="D25" s="19" t="n">
        <v>0</v>
      </c>
      <c r="E25" s="19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Sunsone</t>
        </is>
      </c>
      <c r="B30" s="2" t="inlineStr">
        <is>
          <t>US</t>
        </is>
      </c>
      <c r="C30" s="2" t="inlineStr">
        <is>
          <t>USD</t>
        </is>
      </c>
      <c r="D30" s="18" t="n">
        <v>0</v>
      </c>
      <c r="E30" s="18" t="n">
        <v>0</v>
      </c>
    </row>
    <row r="31">
      <c r="A31" s="2" t="inlineStr">
        <is>
          <t>Huetten Lampen DE</t>
        </is>
      </c>
      <c r="B31" s="2" t="inlineStr">
        <is>
          <t>Italy</t>
        </is>
      </c>
      <c r="C31" s="2" t="inlineStr">
        <is>
          <t>EUR</t>
        </is>
      </c>
      <c r="D31" s="17" t="n">
        <v>0</v>
      </c>
      <c r="E31" s="17" t="n">
        <v>0</v>
      </c>
    </row>
    <row r="32">
      <c r="A32" s="2" t="inlineStr">
        <is>
          <t>LEDSone DE</t>
        </is>
      </c>
      <c r="B32" s="2" t="inlineStr">
        <is>
          <t>UK</t>
        </is>
      </c>
      <c r="C32" s="2" t="inlineStr">
        <is>
          <t>GBP</t>
        </is>
      </c>
      <c r="D32" s="16" t="n">
        <v>0</v>
      </c>
      <c r="E32" s="16" t="n">
        <v>0</v>
      </c>
    </row>
    <row r="33">
      <c r="A33" s="2" t="inlineStr">
        <is>
          <t>ElectricalSone UK</t>
        </is>
      </c>
      <c r="B33" s="2" t="inlineStr">
        <is>
          <t>Italy</t>
        </is>
      </c>
      <c r="C33" s="2" t="inlineStr">
        <is>
          <t>EUR</t>
        </is>
      </c>
      <c r="D33" s="17" t="n">
        <v>0</v>
      </c>
      <c r="E33" s="1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2026-08-03.  "Today" = 2026-08-02.  "Yesterday" = 2026-08-01.  Same Day LY = 2025-08-02.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2026-08-02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(2026-08-02 was a Sunday; 2025-08-02 was a Saturday).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2026-08-03T05:44:12Z</dcterms:created>
  <dcterms:modified xmlns:dcterms="http://purl.org/dc/terms/" xmlns:xsi="http://www.w3.org/2001/XMLSchema-instance" xsi:type="dcterms:W3CDTF">2026-08-03T05:44:12Z</dcterms:modified>
</cp:coreProperties>
</file>