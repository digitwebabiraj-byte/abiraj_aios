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46225</v>
      </c>
      <c r="E2" s="4" t="n">
        <v>837.9299999999999</v>
      </c>
      <c r="F2" s="4" t="n">
        <v>863.36</v>
      </c>
      <c r="G2" s="4">
        <f>E2-F2</f>
        <v/>
      </c>
      <c r="H2" s="5">
        <f>IF(F2=0,"",(E2-F2)/F2)</f>
        <v/>
      </c>
      <c r="I2" s="4" t="n">
        <v>1233.51</v>
      </c>
      <c r="J2" s="6" t="n">
        <v>42</v>
      </c>
      <c r="K2" s="6" t="n">
        <v>49</v>
      </c>
      <c r="L2" s="5">
        <f>IF(K2=0,"",(J2-K2)/K2)</f>
        <v/>
      </c>
      <c r="M2" s="6" t="n">
        <v>78</v>
      </c>
      <c r="N2" s="6" t="n">
        <v>70</v>
      </c>
      <c r="O2" s="4">
        <f>IF(J2=0,"",E2/J2)</f>
        <v/>
      </c>
      <c r="P2" s="6" t="n">
        <v>2843</v>
      </c>
      <c r="Q2" s="6" t="n">
        <v>1598</v>
      </c>
      <c r="R2" s="4" t="n">
        <v>436.24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1245</v>
      </c>
      <c r="U2" s="4" t="n">
        <v>394.11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46225</v>
      </c>
      <c r="E3" s="4" t="n">
        <v>397.95</v>
      </c>
      <c r="F3" s="4" t="n">
        <v>444.6</v>
      </c>
      <c r="G3" s="4">
        <f>E3-F3</f>
        <v/>
      </c>
      <c r="H3" s="5">
        <f>IF(F3=0,"",(E3-F3)/F3)</f>
        <v/>
      </c>
      <c r="I3" s="4" t="n">
        <v>497.19</v>
      </c>
      <c r="J3" s="6" t="n">
        <v>21</v>
      </c>
      <c r="K3" s="6" t="n">
        <v>28</v>
      </c>
      <c r="L3" s="5">
        <f>IF(K3=0,"",(J3-K3)/K3)</f>
        <v/>
      </c>
      <c r="M3" s="6" t="n">
        <v>34</v>
      </c>
      <c r="N3" s="6" t="n">
        <v>35</v>
      </c>
      <c r="O3" s="4">
        <f>IF(J3=0,"",E3/J3)</f>
        <v/>
      </c>
      <c r="P3" s="6" t="n">
        <v>1513</v>
      </c>
      <c r="Q3" s="6" t="n">
        <v>965</v>
      </c>
      <c r="R3" s="4" t="n">
        <v>197.77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548</v>
      </c>
      <c r="U3" s="4" t="n">
        <v>223.86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46225</v>
      </c>
      <c r="E4" s="7" t="n">
        <v>306.58</v>
      </c>
      <c r="F4" s="7" t="n">
        <v>61.33</v>
      </c>
      <c r="G4" s="7">
        <f>E4-F4</f>
        <v/>
      </c>
      <c r="H4" s="5">
        <f>IF(F4=0,"",(E4-F4)/F4)</f>
        <v/>
      </c>
      <c r="I4" s="7" t="n">
        <v>534.5599999999999</v>
      </c>
      <c r="J4" s="6" t="n">
        <v>6</v>
      </c>
      <c r="K4" s="6" t="n">
        <v>4</v>
      </c>
      <c r="L4" s="5">
        <f>IF(K4=0,"",(J4-K4)/K4)</f>
        <v/>
      </c>
      <c r="M4" s="6" t="n">
        <v>22</v>
      </c>
      <c r="N4" s="6" t="n">
        <v>11</v>
      </c>
      <c r="O4" s="7">
        <f>IF(J4=0,"",E4/J4)</f>
        <v/>
      </c>
      <c r="P4" s="6" t="n">
        <v>1353</v>
      </c>
      <c r="Q4" s="6" t="n">
        <v>1139</v>
      </c>
      <c r="R4" s="7" t="n">
        <v>298.23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214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46225</v>
      </c>
      <c r="E5" s="4" t="n">
        <v>261.26</v>
      </c>
      <c r="F5" s="4" t="n">
        <v>198</v>
      </c>
      <c r="G5" s="4">
        <f>E5-F5</f>
        <v/>
      </c>
      <c r="H5" s="5">
        <f>IF(F5=0,"",(E5-F5)/F5)</f>
        <v/>
      </c>
      <c r="I5" s="4" t="n">
        <v>259.76</v>
      </c>
      <c r="J5" s="6" t="n">
        <v>14</v>
      </c>
      <c r="K5" s="6" t="n">
        <v>10</v>
      </c>
      <c r="L5" s="5">
        <f>IF(K5=0,"",(J5-K5)/K5)</f>
        <v/>
      </c>
      <c r="M5" s="6" t="n">
        <v>13</v>
      </c>
      <c r="N5" s="6" t="n">
        <v>21</v>
      </c>
      <c r="O5" s="4">
        <f>IF(J5=0,"",E5/J5)</f>
        <v/>
      </c>
      <c r="P5" s="6" t="n">
        <v>1150</v>
      </c>
      <c r="Q5" s="6" t="n">
        <v>693</v>
      </c>
      <c r="R5" s="4" t="n">
        <v>201.28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457</v>
      </c>
      <c r="U5" s="4" t="n">
        <v>70.20999999999999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46225</v>
      </c>
      <c r="E6" s="7" t="n">
        <v>149.5</v>
      </c>
      <c r="F6" s="7" t="n">
        <v>241.79</v>
      </c>
      <c r="G6" s="7">
        <f>E6-F6</f>
        <v/>
      </c>
      <c r="H6" s="5">
        <f>IF(F6=0,"",(E6-F6)/F6)</f>
        <v/>
      </c>
      <c r="I6" s="7" t="n">
        <v>212.66</v>
      </c>
      <c r="J6" s="6" t="n">
        <v>11</v>
      </c>
      <c r="K6" s="6" t="n">
        <v>10</v>
      </c>
      <c r="L6" s="5">
        <f>IF(K6=0,"",(J6-K6)/K6)</f>
        <v/>
      </c>
      <c r="M6" s="6" t="n">
        <v>11</v>
      </c>
      <c r="N6" s="6" t="n">
        <v>11</v>
      </c>
      <c r="O6" s="7">
        <f>IF(J6=0,"",E6/J6)</f>
        <v/>
      </c>
      <c r="P6" s="6" t="n">
        <v>634</v>
      </c>
      <c r="Q6" s="6" t="n">
        <v>552</v>
      </c>
      <c r="R6" s="7" t="n">
        <v>133.07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7.19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46225</v>
      </c>
      <c r="E7" s="7" t="n">
        <v>0</v>
      </c>
      <c r="F7" s="7" t="n">
        <v>5.81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1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46225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592</v>
      </c>
      <c r="Q8" s="6" t="n">
        <v>592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3" t="n">
        <v>46225</v>
      </c>
      <c r="E9" s="7" t="n">
        <v>397.19</v>
      </c>
      <c r="F9" s="7" t="n">
        <v>256.76</v>
      </c>
      <c r="G9" s="7">
        <f>E9-F9</f>
        <v/>
      </c>
      <c r="H9" s="5">
        <f>IF(F9=0,"",(E9-F9)/F9)</f>
        <v/>
      </c>
      <c r="I9" s="7" t="n">
        <v>394.9</v>
      </c>
      <c r="J9" s="6" t="n">
        <v>19</v>
      </c>
      <c r="K9" s="6" t="n">
        <v>11</v>
      </c>
      <c r="L9" s="5">
        <f>IF(K9=0,"",(J9-K9)/K9)</f>
        <v/>
      </c>
      <c r="M9" s="6" t="n">
        <v>23</v>
      </c>
      <c r="N9" s="6" t="n">
        <v>22</v>
      </c>
      <c r="O9" s="7">
        <f>IF(J9=0,"",E9/J9)</f>
        <v/>
      </c>
      <c r="P9" s="6" t="n">
        <v>541</v>
      </c>
      <c r="Q9" s="6" t="n">
        <v>449</v>
      </c>
      <c r="R9" s="7" t="n">
        <v>379.38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92</v>
      </c>
      <c r="U9" s="7" t="n">
        <v>33.38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3" t="n">
        <v>46225</v>
      </c>
      <c r="E10" s="4" t="n">
        <v>202.68</v>
      </c>
      <c r="F10" s="4" t="n">
        <v>280.92</v>
      </c>
      <c r="G10" s="4">
        <f>E10-F10</f>
        <v/>
      </c>
      <c r="H10" s="5">
        <f>IF(F10=0,"",(E10-F10)/F10)</f>
        <v/>
      </c>
      <c r="I10" s="4" t="n">
        <v>113.61</v>
      </c>
      <c r="J10" s="6" t="n">
        <v>8</v>
      </c>
      <c r="K10" s="6" t="n">
        <v>15</v>
      </c>
      <c r="L10" s="5">
        <f>IF(K10=0,"",(J10-K10)/K10)</f>
        <v/>
      </c>
      <c r="M10" s="6" t="n">
        <v>5</v>
      </c>
      <c r="N10" s="6" t="n">
        <v>10</v>
      </c>
      <c r="O10" s="4">
        <f>IF(J10=0,"",E10/J10)</f>
        <v/>
      </c>
      <c r="P10" s="6" t="n">
        <v>537</v>
      </c>
      <c r="Q10" s="6" t="n">
        <v>537</v>
      </c>
      <c r="R10" s="4" t="n">
        <v>202.68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0</v>
      </c>
      <c r="U10" s="4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46225</v>
      </c>
      <c r="E11" s="7" t="n">
        <v>45.48</v>
      </c>
      <c r="F11" s="7" t="n">
        <v>159.54</v>
      </c>
      <c r="G11" s="7">
        <f>E11-F11</f>
        <v/>
      </c>
      <c r="H11" s="5">
        <f>IF(F11=0,"",(E11-F11)/F11)</f>
        <v/>
      </c>
      <c r="I11" s="7" t="n">
        <v>105.46</v>
      </c>
      <c r="J11" s="6" t="n">
        <v>4</v>
      </c>
      <c r="K11" s="6" t="n">
        <v>9</v>
      </c>
      <c r="L11" s="5">
        <f>IF(K11=0,"",(J11-K11)/K11)</f>
        <v/>
      </c>
      <c r="M11" s="6" t="n">
        <v>6</v>
      </c>
      <c r="N11" s="6" t="n">
        <v>5</v>
      </c>
      <c r="O11" s="7">
        <f>IF(J11=0,"",E11/J11)</f>
        <v/>
      </c>
      <c r="P11" s="6" t="n">
        <v>486</v>
      </c>
      <c r="Q11" s="6" t="n">
        <v>450</v>
      </c>
      <c r="R11" s="7" t="n">
        <v>26.57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6.7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46225</v>
      </c>
      <c r="E12" s="4" t="n">
        <v>157.59</v>
      </c>
      <c r="F12" s="4" t="n">
        <v>75.78</v>
      </c>
      <c r="G12" s="4">
        <f>E12-F12</f>
        <v/>
      </c>
      <c r="H12" s="5">
        <f>IF(F12=0,"",(E12-F12)/F12)</f>
        <v/>
      </c>
      <c r="I12" s="4" t="n">
        <v>82.87</v>
      </c>
      <c r="J12" s="6" t="n">
        <v>8</v>
      </c>
      <c r="K12" s="6" t="n">
        <v>8</v>
      </c>
      <c r="L12" s="5">
        <f>IF(K12=0,"",(J12-K12)/K12)</f>
        <v/>
      </c>
      <c r="M12" s="6" t="n">
        <v>10</v>
      </c>
      <c r="N12" s="6" t="n">
        <v>14</v>
      </c>
      <c r="O12" s="4">
        <f>IF(J12=0,"",E12/J12)</f>
        <v/>
      </c>
      <c r="P12" s="6" t="n">
        <v>474</v>
      </c>
      <c r="Q12" s="6" t="n">
        <v>474</v>
      </c>
      <c r="R12" s="4" t="n">
        <v>166.07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46225</v>
      </c>
      <c r="E13" s="4" t="n">
        <v>41.99</v>
      </c>
      <c r="F13" s="4" t="n">
        <v>57.7</v>
      </c>
      <c r="G13" s="4">
        <f>E13-F13</f>
        <v/>
      </c>
      <c r="H13" s="5">
        <f>IF(F13=0,"",(E13-F13)/F13)</f>
        <v/>
      </c>
      <c r="I13" s="4" t="n">
        <v>27.34</v>
      </c>
      <c r="J13" s="6" t="n">
        <v>4</v>
      </c>
      <c r="K13" s="6" t="n">
        <v>2</v>
      </c>
      <c r="L13" s="5">
        <f>IF(K13=0,"",(J13-K13)/K13)</f>
        <v/>
      </c>
      <c r="M13" s="6" t="n">
        <v>3</v>
      </c>
      <c r="N13" s="6" t="n">
        <v>13</v>
      </c>
      <c r="O13" s="4">
        <f>IF(J13=0,"",E13/J13)</f>
        <v/>
      </c>
      <c r="P13" s="6" t="n">
        <v>468</v>
      </c>
      <c r="Q13" s="6" t="n">
        <v>468</v>
      </c>
      <c r="R13" s="4" t="n">
        <v>45.43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46225</v>
      </c>
      <c r="E14" s="4" t="n">
        <v>0</v>
      </c>
      <c r="F14" s="4" t="n">
        <v>65.78</v>
      </c>
      <c r="G14" s="4">
        <f>E14-F14</f>
        <v/>
      </c>
      <c r="H14" s="5">
        <f>IF(F14=0,"",(E14-F14)/F14)</f>
        <v/>
      </c>
      <c r="I14" s="4" t="n">
        <v>314.72</v>
      </c>
      <c r="J14" s="6" t="n">
        <v>0</v>
      </c>
      <c r="K14" s="6" t="n">
        <v>2</v>
      </c>
      <c r="L14" s="5">
        <f>IF(K14=0,"",(J14-K14)/K14)</f>
        <v/>
      </c>
      <c r="M14" s="6" t="n">
        <v>6</v>
      </c>
      <c r="N14" s="6" t="n">
        <v>0</v>
      </c>
      <c r="O14" s="4">
        <f>IF(J14=0,"",E14/J14)</f>
        <v/>
      </c>
      <c r="P14" s="6" t="n">
        <v>403</v>
      </c>
      <c r="Q14" s="6" t="n">
        <v>403</v>
      </c>
      <c r="R14" s="4" t="n">
        <v>0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46225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391</v>
      </c>
      <c r="Q15" s="6" t="n">
        <v>353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46225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46225</v>
      </c>
      <c r="E17" s="7" t="n">
        <v>0</v>
      </c>
      <c r="F17" s="7" t="n">
        <v>26.33</v>
      </c>
      <c r="G17" s="7">
        <f>E17-F17</f>
        <v/>
      </c>
      <c r="H17" s="5">
        <f>IF(F17=0,"",(E17-F17)/F17)</f>
        <v/>
      </c>
      <c r="I17" s="7" t="n">
        <v>0</v>
      </c>
      <c r="J17" s="6" t="n">
        <v>0</v>
      </c>
      <c r="K17" s="6" t="n">
        <v>1</v>
      </c>
      <c r="L17" s="5">
        <f>IF(K17=0,"",(J17-K17)/K17)</f>
        <v/>
      </c>
      <c r="M17" s="6" t="n">
        <v>0</v>
      </c>
      <c r="N17" s="6" t="n">
        <v>0</v>
      </c>
      <c r="O17" s="7">
        <f>IF(J17=0,"",E17/J17)</f>
        <v/>
      </c>
      <c r="P17" s="6" t="n">
        <v>368</v>
      </c>
      <c r="Q17" s="6" t="n">
        <v>368</v>
      </c>
      <c r="R17" s="7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46225</v>
      </c>
      <c r="E18" s="9" t="n">
        <v>0</v>
      </c>
      <c r="F18" s="9" t="n">
        <v>29.62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1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344</v>
      </c>
      <c r="Q18" s="6" t="n">
        <v>328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46225</v>
      </c>
      <c r="E19" s="7" t="n">
        <v>32.29</v>
      </c>
      <c r="F19" s="7" t="n">
        <v>78.15000000000001</v>
      </c>
      <c r="G19" s="7">
        <f>E19-F19</f>
        <v/>
      </c>
      <c r="H19" s="5">
        <f>IF(F19=0,"",(E19-F19)/F19)</f>
        <v/>
      </c>
      <c r="I19" s="7" t="n">
        <v>152.48</v>
      </c>
      <c r="J19" s="6" t="n">
        <v>2</v>
      </c>
      <c r="K19" s="6" t="n">
        <v>4</v>
      </c>
      <c r="L19" s="5">
        <f>IF(K19=0,"",(J19-K19)/K19)</f>
        <v/>
      </c>
      <c r="M19" s="6" t="n">
        <v>12</v>
      </c>
      <c r="N19" s="6" t="n">
        <v>2</v>
      </c>
      <c r="O19" s="7">
        <f>IF(J19=0,"",E19/J19)</f>
        <v/>
      </c>
      <c r="P19" s="6" t="n">
        <v>295</v>
      </c>
      <c r="Q19" s="6" t="n">
        <v>295</v>
      </c>
      <c r="R19" s="7" t="n">
        <v>28.84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46225</v>
      </c>
      <c r="E20" s="4" t="n">
        <v>0</v>
      </c>
      <c r="F20" s="4" t="n">
        <v>16.58</v>
      </c>
      <c r="G20" s="4">
        <f>E20-F20</f>
        <v/>
      </c>
      <c r="H20" s="5">
        <f>IF(F20=0,"",(E20-F20)/F20)</f>
        <v/>
      </c>
      <c r="I20" s="4" t="n">
        <v>0</v>
      </c>
      <c r="J20" s="6" t="n">
        <v>0</v>
      </c>
      <c r="K20" s="6" t="n">
        <v>1</v>
      </c>
      <c r="L20" s="5">
        <f>IF(K20=0,"",(J20-K20)/K20)</f>
        <v/>
      </c>
      <c r="M20" s="6" t="n">
        <v>0</v>
      </c>
      <c r="N20" s="6" t="n">
        <v>0</v>
      </c>
      <c r="O20" s="4">
        <f>IF(J20=0,"",E20/J20)</f>
        <v/>
      </c>
      <c r="P20" s="6" t="n">
        <v>247</v>
      </c>
      <c r="Q20" s="6" t="n">
        <v>247</v>
      </c>
      <c r="R20" s="4" t="n">
        <v>0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46225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3" t="n">
        <v>46225</v>
      </c>
      <c r="E22" s="7" t="n">
        <v>0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7">
        <f>IF(J22=0,"",E22/J22)</f>
        <v/>
      </c>
      <c r="P22" s="6" t="n">
        <v>167</v>
      </c>
      <c r="Q22" s="6" t="n">
        <v>148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19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46225</v>
      </c>
      <c r="E23" s="7" t="n">
        <v>152.91</v>
      </c>
      <c r="F23" s="7" t="n">
        <v>28.98</v>
      </c>
      <c r="G23" s="7">
        <f>E23-F23</f>
        <v/>
      </c>
      <c r="H23" s="5">
        <f>IF(F23=0,"",(E23-F23)/F23)</f>
        <v/>
      </c>
      <c r="I23" s="7" t="n">
        <v>0</v>
      </c>
      <c r="J23" s="6" t="n">
        <v>3</v>
      </c>
      <c r="K23" s="6" t="n">
        <v>2</v>
      </c>
      <c r="L23" s="5">
        <f>IF(K23=0,"",(J23-K23)/K23)</f>
        <v/>
      </c>
      <c r="M23" s="6" t="n">
        <v>0</v>
      </c>
      <c r="N23" s="6" t="n">
        <v>9</v>
      </c>
      <c r="O23" s="7">
        <f>IF(J23=0,"",E23/J23)</f>
        <v/>
      </c>
      <c r="P23" s="6" t="n">
        <v>164</v>
      </c>
      <c r="Q23" s="6" t="n">
        <v>164</v>
      </c>
      <c r="R23" s="7" t="n">
        <v>157.69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46225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46225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46225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70</v>
      </c>
      <c r="Q26" s="6" t="n">
        <v>70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46225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46225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46225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46225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46225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46225</v>
      </c>
    </row>
    <row r="3">
      <c r="A3" t="inlineStr">
        <is>
          <t>Generated</t>
        </is>
      </c>
      <c r="B3" s="12" t="n">
        <v>46226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2026-07-21</t>
        </is>
      </c>
      <c r="E1" s="13" t="inlineStr">
        <is>
          <t>AH Sales 2026-07-21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534.77</v>
      </c>
      <c r="E2" s="16" t="n">
        <v>336.33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292.81</v>
      </c>
      <c r="E3" s="16" t="n">
        <v>166.19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7.41</v>
      </c>
      <c r="E4" s="17" t="n">
        <v>33.65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53.83</v>
      </c>
      <c r="E5" s="16" t="n">
        <v>146.1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30.07</v>
      </c>
      <c r="E6" s="17" t="n">
        <v>208.41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5.81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17" t="n">
        <v>60.27</v>
      </c>
      <c r="E9" s="17" t="n">
        <v>201.27</v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16" t="n">
        <v>0</v>
      </c>
      <c r="E10" s="16" t="n">
        <v>271.95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0</v>
      </c>
      <c r="E11" s="17" t="n">
        <v>138.84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77.09999999999999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60.76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68.78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9.08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26.99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68.09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16.58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28.98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2026-07-23.  "Today" = 2026-07-22.  "Yesterday" = 2026-07-21.  Same Day LY = 2025-07-22.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2026-07-22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(2026-07-22 was a Wednesday; 2025-07-22 was a Tuesday).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2026-07-23T10:21:44Z</dcterms:created>
  <dcterms:modified xmlns:dcterms="http://purl.org/dc/terms/" xmlns:xsi="http://www.w3.org/2001/XMLSchema-instance" xsi:type="dcterms:W3CDTF">2026-07-23T10:21:44Z</dcterms:modified>
</cp:coreProperties>
</file>