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Track'!$A$1:$W$31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-mmm-yyyy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0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5" customWidth="1" min="4" max="4"/>
    <col width="16" customWidth="1" min="5" max="5"/>
    <col width="13" customWidth="1" min="6" max="6"/>
    <col width="13" customWidth="1" min="7" max="7"/>
    <col width="18" customWidth="1" min="8" max="8"/>
    <col width="13" customWidth="1" min="9" max="9"/>
    <col width="15" customWidth="1" min="10" max="10"/>
    <col width="13" customWidth="1" min="11" max="11"/>
    <col width="16" customWidth="1" min="12" max="12"/>
    <col width="11" customWidth="1" min="13" max="13"/>
    <col width="16" customWidth="1" min="14" max="14"/>
    <col width="13" customWidth="1" min="15" max="15"/>
    <col width="12" customWidth="1" min="16" max="16"/>
    <col width="15" customWidth="1" min="17" max="17"/>
    <col width="15" customWidth="1" min="18" max="18"/>
    <col width="12" customWidth="1" min="19" max="19"/>
    <col width="15" customWidth="1" min="20" max="20"/>
    <col width="15" customWidth="1" min="21" max="21"/>
    <col width="18" customWidth="1" min="22" max="22"/>
    <col width="16" customWidth="1" min="23" max="23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Date</t>
        </is>
      </c>
      <c r="D1" s="1" t="inlineStr">
        <is>
          <t>Today's Sales (£)</t>
        </is>
      </c>
      <c r="E1" s="1" t="inlineStr">
        <is>
          <t>Yesterday Sales (£)</t>
        </is>
      </c>
      <c r="F1" s="1" t="inlineStr">
        <is>
          <t>Sales Diff (£)</t>
        </is>
      </c>
      <c r="G1" s="1" t="inlineStr">
        <is>
          <t>Sales Growth %</t>
        </is>
      </c>
      <c r="H1" s="1" t="inlineStr">
        <is>
          <t>Same Day LY Sales (£)</t>
        </is>
      </c>
      <c r="I1" s="1" t="inlineStr">
        <is>
          <t>Today's Orders</t>
        </is>
      </c>
      <c r="J1" s="1" t="inlineStr">
        <is>
          <t>Yesterday Orders</t>
        </is>
      </c>
      <c r="K1" s="1" t="inlineStr">
        <is>
          <t>Order Growth %</t>
        </is>
      </c>
      <c r="L1" s="1" t="inlineStr">
        <is>
          <t>Same Day LY Orders</t>
        </is>
      </c>
      <c r="M1" s="1" t="inlineStr">
        <is>
          <t>Units Sold</t>
        </is>
      </c>
      <c r="N1" s="1" t="inlineStr">
        <is>
          <t>Avg Order Value (£)</t>
        </is>
      </c>
      <c r="O1" s="1" t="inlineStr">
        <is>
          <t>Active Listing</t>
        </is>
      </c>
      <c r="P1" s="1" t="inlineStr">
        <is>
          <t>AH Listing</t>
        </is>
      </c>
      <c r="Q1" s="1" t="inlineStr">
        <is>
          <t>AH Listing Sales</t>
        </is>
      </c>
      <c r="R1" s="1" t="inlineStr">
        <is>
          <t>AH Sales Trend</t>
        </is>
      </c>
      <c r="S1" s="1" t="inlineStr">
        <is>
          <t>PH Listing</t>
        </is>
      </c>
      <c r="T1" s="1" t="inlineStr">
        <is>
          <t>PH Listing Sales</t>
        </is>
      </c>
      <c r="U1" s="1" t="inlineStr">
        <is>
          <t>PH Sales Trend</t>
        </is>
      </c>
      <c r="V1" s="1" t="inlineStr">
        <is>
          <t>Account Sales Trend</t>
        </is>
      </c>
      <c r="W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3" t="n">
        <v>46225</v>
      </c>
      <c r="D2" s="4" t="n">
        <v>837.9299999999999</v>
      </c>
      <c r="E2" s="4" t="n">
        <v>863.36</v>
      </c>
      <c r="F2" s="4">
        <f>D2-E2</f>
        <v/>
      </c>
      <c r="G2" s="5">
        <f>IF(E2=0,"",(D2-E2)/E2)</f>
        <v/>
      </c>
      <c r="H2" s="4" t="n">
        <v>1233.51</v>
      </c>
      <c r="I2" s="6" t="n">
        <v>42</v>
      </c>
      <c r="J2" s="6" t="n">
        <v>49</v>
      </c>
      <c r="K2" s="5">
        <f>IF(J2=0,"",(I2-J2)/J2)</f>
        <v/>
      </c>
      <c r="L2" s="6" t="n">
        <v>78</v>
      </c>
      <c r="M2" s="6" t="n">
        <v>70</v>
      </c>
      <c r="N2" s="4">
        <f>IF(I2=0,"",D2/I2)</f>
        <v/>
      </c>
      <c r="O2" s="6" t="n">
        <v>2843</v>
      </c>
      <c r="P2" s="6" t="n">
        <v>1598</v>
      </c>
      <c r="Q2" s="4" t="n">
        <v>436.24</v>
      </c>
      <c r="R2" s="2">
        <f>IF(AND('Engine Inputs'!D2=0,Q2=0),"",IF('Engine Inputs'!D2=0,"📈 Up",IF((Q2-'Engine Inputs'!D2)/'Engine Inputs'!D2&gt;Config!$B$2,"📈 Up",IF((Q2-'Engine Inputs'!D2)/'Engine Inputs'!D2&lt;-Config!$B$2,"📉 Down","➡ Stable"))))</f>
        <v/>
      </c>
      <c r="S2" s="6" t="n">
        <v>1245</v>
      </c>
      <c r="T2" s="4" t="n">
        <v>394.11</v>
      </c>
      <c r="U2" s="2">
        <f>IF(AND('Engine Inputs'!C2=0,T2=0),"",IF('Engine Inputs'!C2=0,"📈 Up",IF((T2-'Engine Inputs'!C2)/'Engine Inputs'!C2&gt;Config!$B$2,"📈 Up",IF((T2-'Engine Inputs'!C2)/'Engine Inputs'!C2&lt;-Config!$B$2,"📉 Down","➡ Stable"))))</f>
        <v/>
      </c>
      <c r="V2" s="2">
        <f>IF(AND(E2=0,D2=0),"",IF(E2=0,"📈 Up",IF((D2-E2)/E2&gt;Config!$B$2,"📈 Up",IF((D2-E2)/E2&lt;-Config!$B$2,"📉 Down","➡ Stable"))))</f>
        <v/>
      </c>
      <c r="W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3" t="n">
        <v>46225</v>
      </c>
      <c r="D3" s="4" t="n">
        <v>397.95</v>
      </c>
      <c r="E3" s="4" t="n">
        <v>444.6</v>
      </c>
      <c r="F3" s="4">
        <f>D3-E3</f>
        <v/>
      </c>
      <c r="G3" s="5">
        <f>IF(E3=0,"",(D3-E3)/E3)</f>
        <v/>
      </c>
      <c r="H3" s="4" t="n">
        <v>497.19</v>
      </c>
      <c r="I3" s="6" t="n">
        <v>21</v>
      </c>
      <c r="J3" s="6" t="n">
        <v>28</v>
      </c>
      <c r="K3" s="5">
        <f>IF(J3=0,"",(I3-J3)/J3)</f>
        <v/>
      </c>
      <c r="L3" s="6" t="n">
        <v>34</v>
      </c>
      <c r="M3" s="6" t="n">
        <v>35</v>
      </c>
      <c r="N3" s="4">
        <f>IF(I3=0,"",D3/I3)</f>
        <v/>
      </c>
      <c r="O3" s="6" t="n">
        <v>1513</v>
      </c>
      <c r="P3" s="6" t="n">
        <v>965</v>
      </c>
      <c r="Q3" s="4" t="n">
        <v>197.77</v>
      </c>
      <c r="R3" s="2">
        <f>IF(AND('Engine Inputs'!D3=0,Q3=0),"",IF('Engine Inputs'!D3=0,"📈 Up",IF((Q3-'Engine Inputs'!D3)/'Engine Inputs'!D3&gt;Config!$B$2,"📈 Up",IF((Q3-'Engine Inputs'!D3)/'Engine Inputs'!D3&lt;-Config!$B$2,"📉 Down","➡ Stable"))))</f>
        <v/>
      </c>
      <c r="S3" s="6" t="n">
        <v>548</v>
      </c>
      <c r="T3" s="4" t="n">
        <v>223.86</v>
      </c>
      <c r="U3" s="2">
        <f>IF(AND('Engine Inputs'!C3=0,T3=0),"",IF('Engine Inputs'!C3=0,"📈 Up",IF((T3-'Engine Inputs'!C3)/'Engine Inputs'!C3&gt;Config!$B$2,"📈 Up",IF((T3-'Engine Inputs'!C3)/'Engine Inputs'!C3&lt;-Config!$B$2,"📉 Down","➡ Stable"))))</f>
        <v/>
      </c>
      <c r="V3" s="2">
        <f>IF(AND(E3=0,D3=0),"",IF(E3=0,"📈 Up",IF((D3-E3)/E3&gt;Config!$B$2,"📈 Up",IF((D3-E3)/E3&lt;-Config!$B$2,"📉 Down","➡ Stable"))))</f>
        <v/>
      </c>
      <c r="W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3" t="n">
        <v>46225</v>
      </c>
      <c r="D4" s="4" t="n">
        <v>306.58</v>
      </c>
      <c r="E4" s="4" t="n">
        <v>61.33</v>
      </c>
      <c r="F4" s="4">
        <f>D4-E4</f>
        <v/>
      </c>
      <c r="G4" s="5">
        <f>IF(E4=0,"",(D4-E4)/E4)</f>
        <v/>
      </c>
      <c r="H4" s="4" t="n">
        <v>534.5599999999999</v>
      </c>
      <c r="I4" s="6" t="n">
        <v>6</v>
      </c>
      <c r="J4" s="6" t="n">
        <v>4</v>
      </c>
      <c r="K4" s="5">
        <f>IF(J4=0,"",(I4-J4)/J4)</f>
        <v/>
      </c>
      <c r="L4" s="6" t="n">
        <v>22</v>
      </c>
      <c r="M4" s="6" t="n">
        <v>11</v>
      </c>
      <c r="N4" s="4">
        <f>IF(I4=0,"",D4/I4)</f>
        <v/>
      </c>
      <c r="O4" s="6" t="n">
        <v>1353</v>
      </c>
      <c r="P4" s="6" t="n">
        <v>1139</v>
      </c>
      <c r="Q4" s="4" t="n">
        <v>298.23</v>
      </c>
      <c r="R4" s="2">
        <f>IF(AND('Engine Inputs'!D4=0,Q4=0),"",IF('Engine Inputs'!D4=0,"📈 Up",IF((Q4-'Engine Inputs'!D4)/'Engine Inputs'!D4&gt;Config!$B$2,"📈 Up",IF((Q4-'Engine Inputs'!D4)/'Engine Inputs'!D4&lt;-Config!$B$2,"📉 Down","➡ Stable"))))</f>
        <v/>
      </c>
      <c r="S4" s="6" t="n">
        <v>214</v>
      </c>
      <c r="T4" s="4" t="n">
        <v>0</v>
      </c>
      <c r="U4" s="2">
        <f>IF(AND('Engine Inputs'!C4=0,T4=0),"",IF('Engine Inputs'!C4=0,"📈 Up",IF((T4-'Engine Inputs'!C4)/'Engine Inputs'!C4&gt;Config!$B$2,"📈 Up",IF((T4-'Engine Inputs'!C4)/'Engine Inputs'!C4&lt;-Config!$B$2,"📉 Down","➡ Stable"))))</f>
        <v/>
      </c>
      <c r="V4" s="2">
        <f>IF(AND(E4=0,D4=0),"",IF(E4=0,"📈 Up",IF((D4-E4)/E4&gt;Config!$B$2,"📈 Up",IF((D4-E4)/E4&lt;-Config!$B$2,"📉 Down","➡ Stable"))))</f>
        <v/>
      </c>
      <c r="W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3" t="n">
        <v>46225</v>
      </c>
      <c r="D5" s="4" t="n">
        <v>261.26</v>
      </c>
      <c r="E5" s="4" t="n">
        <v>198</v>
      </c>
      <c r="F5" s="4">
        <f>D5-E5</f>
        <v/>
      </c>
      <c r="G5" s="5">
        <f>IF(E5=0,"",(D5-E5)/E5)</f>
        <v/>
      </c>
      <c r="H5" s="4" t="n">
        <v>259.76</v>
      </c>
      <c r="I5" s="6" t="n">
        <v>14</v>
      </c>
      <c r="J5" s="6" t="n">
        <v>10</v>
      </c>
      <c r="K5" s="5">
        <f>IF(J5=0,"",(I5-J5)/J5)</f>
        <v/>
      </c>
      <c r="L5" s="6" t="n">
        <v>13</v>
      </c>
      <c r="M5" s="6" t="n">
        <v>21</v>
      </c>
      <c r="N5" s="4">
        <f>IF(I5=0,"",D5/I5)</f>
        <v/>
      </c>
      <c r="O5" s="6" t="n">
        <v>1150</v>
      </c>
      <c r="P5" s="6" t="n">
        <v>693</v>
      </c>
      <c r="Q5" s="4" t="n">
        <v>201.28</v>
      </c>
      <c r="R5" s="2">
        <f>IF(AND('Engine Inputs'!D5=0,Q5=0),"",IF('Engine Inputs'!D5=0,"📈 Up",IF((Q5-'Engine Inputs'!D5)/'Engine Inputs'!D5&gt;Config!$B$2,"📈 Up",IF((Q5-'Engine Inputs'!D5)/'Engine Inputs'!D5&lt;-Config!$B$2,"📉 Down","➡ Stable"))))</f>
        <v/>
      </c>
      <c r="S5" s="6" t="n">
        <v>457</v>
      </c>
      <c r="T5" s="4" t="n">
        <v>70.20999999999999</v>
      </c>
      <c r="U5" s="2">
        <f>IF(AND('Engine Inputs'!C5=0,T5=0),"",IF('Engine Inputs'!C5=0,"📈 Up",IF((T5-'Engine Inputs'!C5)/'Engine Inputs'!C5&gt;Config!$B$2,"📈 Up",IF((T5-'Engine Inputs'!C5)/'Engine Inputs'!C5&lt;-Config!$B$2,"📉 Down","➡ Stable"))))</f>
        <v/>
      </c>
      <c r="V5" s="2">
        <f>IF(AND(E5=0,D5=0),"",IF(E5=0,"📈 Up",IF((D5-E5)/E5&gt;Config!$B$2,"📈 Up",IF((D5-E5)/E5&lt;-Config!$B$2,"📉 Down","➡ Stable"))))</f>
        <v/>
      </c>
      <c r="W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3" t="n">
        <v>46225</v>
      </c>
      <c r="D6" s="4" t="n">
        <v>149.5</v>
      </c>
      <c r="E6" s="4" t="n">
        <v>241.79</v>
      </c>
      <c r="F6" s="4">
        <f>D6-E6</f>
        <v/>
      </c>
      <c r="G6" s="5">
        <f>IF(E6=0,"",(D6-E6)/E6)</f>
        <v/>
      </c>
      <c r="H6" s="4" t="n">
        <v>212.66</v>
      </c>
      <c r="I6" s="6" t="n">
        <v>11</v>
      </c>
      <c r="J6" s="6" t="n">
        <v>10</v>
      </c>
      <c r="K6" s="5">
        <f>IF(J6=0,"",(I6-J6)/J6)</f>
        <v/>
      </c>
      <c r="L6" s="6" t="n">
        <v>11</v>
      </c>
      <c r="M6" s="6" t="n">
        <v>11</v>
      </c>
      <c r="N6" s="4">
        <f>IF(I6=0,"",D6/I6)</f>
        <v/>
      </c>
      <c r="O6" s="6" t="n">
        <v>634</v>
      </c>
      <c r="P6" s="6" t="n">
        <v>552</v>
      </c>
      <c r="Q6" s="4" t="n">
        <v>133.07</v>
      </c>
      <c r="R6" s="2">
        <f>IF(AND('Engine Inputs'!D6=0,Q6=0),"",IF('Engine Inputs'!D6=0,"📈 Up",IF((Q6-'Engine Inputs'!D6)/'Engine Inputs'!D6&gt;Config!$B$2,"📈 Up",IF((Q6-'Engine Inputs'!D6)/'Engine Inputs'!D6&lt;-Config!$B$2,"📉 Down","➡ Stable"))))</f>
        <v/>
      </c>
      <c r="S6" s="6" t="n">
        <v>82</v>
      </c>
      <c r="T6" s="4" t="n">
        <v>7.19</v>
      </c>
      <c r="U6" s="2">
        <f>IF(AND('Engine Inputs'!C6=0,T6=0),"",IF('Engine Inputs'!C6=0,"📈 Up",IF((T6-'Engine Inputs'!C6)/'Engine Inputs'!C6&gt;Config!$B$2,"📈 Up",IF((T6-'Engine Inputs'!C6)/'Engine Inputs'!C6&lt;-Config!$B$2,"📉 Down","➡ Stable"))))</f>
        <v/>
      </c>
      <c r="V6" s="2">
        <f>IF(AND(E6=0,D6=0),"",IF(E6=0,"📈 Up",IF((D6-E6)/E6&gt;Config!$B$2,"📈 Up",IF((D6-E6)/E6&lt;-Config!$B$2,"📉 Down","➡ Stable"))))</f>
        <v/>
      </c>
      <c r="W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3" t="n">
        <v>46225</v>
      </c>
      <c r="D7" s="4" t="n">
        <v>0</v>
      </c>
      <c r="E7" s="4" t="n">
        <v>5.81</v>
      </c>
      <c r="F7" s="4">
        <f>D7-E7</f>
        <v/>
      </c>
      <c r="G7" s="5">
        <f>IF(E7=0,"",(D7-E7)/E7)</f>
        <v/>
      </c>
      <c r="H7" s="4" t="n">
        <v>0</v>
      </c>
      <c r="I7" s="6" t="n">
        <v>0</v>
      </c>
      <c r="J7" s="6" t="n">
        <v>1</v>
      </c>
      <c r="K7" s="5">
        <f>IF(J7=0,"",(I7-J7)/J7)</f>
        <v/>
      </c>
      <c r="L7" s="6" t="n">
        <v>0</v>
      </c>
      <c r="M7" s="6" t="n">
        <v>0</v>
      </c>
      <c r="N7" s="4">
        <f>IF(I7=0,"",D7/I7)</f>
        <v/>
      </c>
      <c r="O7" s="6" t="n">
        <v>622</v>
      </c>
      <c r="P7" s="6" t="n">
        <v>622</v>
      </c>
      <c r="Q7" s="4" t="n">
        <v>0</v>
      </c>
      <c r="R7" s="2">
        <f>IF(AND('Engine Inputs'!D7=0,Q7=0),"",IF('Engine Inputs'!D7=0,"📈 Up",IF((Q7-'Engine Inputs'!D7)/'Engine Inputs'!D7&gt;Config!$B$2,"📈 Up",IF((Q7-'Engine Inputs'!D7)/'Engine Inputs'!D7&lt;-Config!$B$2,"📉 Down","➡ Stable"))))</f>
        <v/>
      </c>
      <c r="S7" s="6" t="n">
        <v>0</v>
      </c>
      <c r="T7" s="4" t="n">
        <v>0</v>
      </c>
      <c r="U7" s="2">
        <f>IF(AND('Engine Inputs'!C7=0,T7=0),"",IF('Engine Inputs'!C7=0,"📈 Up",IF((T7-'Engine Inputs'!C7)/'Engine Inputs'!C7&gt;Config!$B$2,"📈 Up",IF((T7-'Engine Inputs'!C7)/'Engine Inputs'!C7&lt;-Config!$B$2,"📉 Down","➡ Stable"))))</f>
        <v/>
      </c>
      <c r="V7" s="2">
        <f>IF(AND(E7=0,D7=0),"",IF(E7=0,"📈 Up",IF((D7-E7)/E7&gt;Config!$B$2,"📈 Up",IF((D7-E7)/E7&lt;-Config!$B$2,"📉 Down","➡ Stable"))))</f>
        <v/>
      </c>
      <c r="W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3" t="n">
        <v>46225</v>
      </c>
      <c r="D8" s="4" t="n">
        <v>0</v>
      </c>
      <c r="E8" s="4" t="n">
        <v>0</v>
      </c>
      <c r="F8" s="4">
        <f>D8-E8</f>
        <v/>
      </c>
      <c r="G8" s="5">
        <f>IF(E8=0,"",(D8-E8)/E8)</f>
        <v/>
      </c>
      <c r="H8" s="4" t="n">
        <v>0</v>
      </c>
      <c r="I8" s="6" t="n">
        <v>0</v>
      </c>
      <c r="J8" s="6" t="n">
        <v>0</v>
      </c>
      <c r="K8" s="5">
        <f>IF(J8=0,"",(I8-J8)/J8)</f>
        <v/>
      </c>
      <c r="L8" s="6" t="n">
        <v>0</v>
      </c>
      <c r="M8" s="6" t="n">
        <v>0</v>
      </c>
      <c r="N8" s="4">
        <f>IF(I8=0,"",D8/I8)</f>
        <v/>
      </c>
      <c r="O8" s="6" t="n">
        <v>592</v>
      </c>
      <c r="P8" s="6" t="n">
        <v>592</v>
      </c>
      <c r="Q8" s="4" t="n">
        <v>0</v>
      </c>
      <c r="R8" s="2">
        <f>IF(AND('Engine Inputs'!D8=0,Q8=0),"",IF('Engine Inputs'!D8=0,"📈 Up",IF((Q8-'Engine Inputs'!D8)/'Engine Inputs'!D8&gt;Config!$B$2,"📈 Up",IF((Q8-'Engine Inputs'!D8)/'Engine Inputs'!D8&lt;-Config!$B$2,"📉 Down","➡ Stable"))))</f>
        <v/>
      </c>
      <c r="S8" s="6" t="n">
        <v>0</v>
      </c>
      <c r="T8" s="4" t="n">
        <v>0</v>
      </c>
      <c r="U8" s="2">
        <f>IF(AND('Engine Inputs'!C8=0,T8=0),"",IF('Engine Inputs'!C8=0,"📈 Up",IF((T8-'Engine Inputs'!C8)/'Engine Inputs'!C8&gt;Config!$B$2,"📈 Up",IF((T8-'Engine Inputs'!C8)/'Engine Inputs'!C8&lt;-Config!$B$2,"📉 Down","➡ Stable"))))</f>
        <v/>
      </c>
      <c r="V8" s="2">
        <f>IF(AND(E8=0,D8=0),"",IF(E8=0,"📈 Up",IF((D8-E8)/E8&gt;Config!$B$2,"📈 Up",IF((D8-E8)/E8&lt;-Config!$B$2,"📉 Down","➡ Stable"))))</f>
        <v/>
      </c>
      <c r="W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3" t="n">
        <v>46225</v>
      </c>
      <c r="D9" s="4" t="n">
        <v>397.19</v>
      </c>
      <c r="E9" s="4" t="n">
        <v>256.76</v>
      </c>
      <c r="F9" s="4">
        <f>D9-E9</f>
        <v/>
      </c>
      <c r="G9" s="5">
        <f>IF(E9=0,"",(D9-E9)/E9)</f>
        <v/>
      </c>
      <c r="H9" s="4" t="n">
        <v>394.9</v>
      </c>
      <c r="I9" s="6" t="n">
        <v>19</v>
      </c>
      <c r="J9" s="6" t="n">
        <v>11</v>
      </c>
      <c r="K9" s="5">
        <f>IF(J9=0,"",(I9-J9)/J9)</f>
        <v/>
      </c>
      <c r="L9" s="6" t="n">
        <v>23</v>
      </c>
      <c r="M9" s="6" t="n">
        <v>22</v>
      </c>
      <c r="N9" s="4">
        <f>IF(I9=0,"",D9/I9)</f>
        <v/>
      </c>
      <c r="O9" s="6" t="n">
        <v>541</v>
      </c>
      <c r="P9" s="6" t="n">
        <v>449</v>
      </c>
      <c r="Q9" s="4" t="n">
        <v>379.38</v>
      </c>
      <c r="R9" s="2">
        <f>IF(AND('Engine Inputs'!D9=0,Q9=0),"",IF('Engine Inputs'!D9=0,"📈 Up",IF((Q9-'Engine Inputs'!D9)/'Engine Inputs'!D9&gt;Config!$B$2,"📈 Up",IF((Q9-'Engine Inputs'!D9)/'Engine Inputs'!D9&lt;-Config!$B$2,"📉 Down","➡ Stable"))))</f>
        <v/>
      </c>
      <c r="S9" s="6" t="n">
        <v>92</v>
      </c>
      <c r="T9" s="4" t="n">
        <v>33.38</v>
      </c>
      <c r="U9" s="2">
        <f>IF(AND('Engine Inputs'!C9=0,T9=0),"",IF('Engine Inputs'!C9=0,"📈 Up",IF((T9-'Engine Inputs'!C9)/'Engine Inputs'!C9&gt;Config!$B$2,"📈 Up",IF((T9-'Engine Inputs'!C9)/'Engine Inputs'!C9&lt;-Config!$B$2,"📉 Down","➡ Stable"))))</f>
        <v/>
      </c>
      <c r="V9" s="2">
        <f>IF(AND(E9=0,D9=0),"",IF(E9=0,"📈 Up",IF((D9-E9)/E9&gt;Config!$B$2,"📈 Up",IF((D9-E9)/E9&lt;-Config!$B$2,"📉 Down","➡ Stable"))))</f>
        <v/>
      </c>
      <c r="W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3" t="n">
        <v>46225</v>
      </c>
      <c r="D10" s="4" t="n">
        <v>202.68</v>
      </c>
      <c r="E10" s="4" t="n">
        <v>280.92</v>
      </c>
      <c r="F10" s="4">
        <f>D10-E10</f>
        <v/>
      </c>
      <c r="G10" s="5">
        <f>IF(E10=0,"",(D10-E10)/E10)</f>
        <v/>
      </c>
      <c r="H10" s="4" t="n">
        <v>113.61</v>
      </c>
      <c r="I10" s="6" t="n">
        <v>8</v>
      </c>
      <c r="J10" s="6" t="n">
        <v>15</v>
      </c>
      <c r="K10" s="5">
        <f>IF(J10=0,"",(I10-J10)/J10)</f>
        <v/>
      </c>
      <c r="L10" s="6" t="n">
        <v>5</v>
      </c>
      <c r="M10" s="6" t="n">
        <v>10</v>
      </c>
      <c r="N10" s="4">
        <f>IF(I10=0,"",D10/I10)</f>
        <v/>
      </c>
      <c r="O10" s="6" t="n">
        <v>537</v>
      </c>
      <c r="P10" s="6" t="n">
        <v>537</v>
      </c>
      <c r="Q10" s="4" t="n">
        <v>202.68</v>
      </c>
      <c r="R10" s="2">
        <f>IF(AND('Engine Inputs'!D10=0,Q10=0),"",IF('Engine Inputs'!D10=0,"📈 Up",IF((Q10-'Engine Inputs'!D10)/'Engine Inputs'!D10&gt;Config!$B$2,"📈 Up",IF((Q10-'Engine Inputs'!D10)/'Engine Inputs'!D10&lt;-Config!$B$2,"📉 Down","➡ Stable"))))</f>
        <v/>
      </c>
      <c r="S10" s="6" t="n">
        <v>0</v>
      </c>
      <c r="T10" s="4" t="n">
        <v>0</v>
      </c>
      <c r="U10" s="2">
        <f>IF(AND('Engine Inputs'!C10=0,T10=0),"",IF('Engine Inputs'!C10=0,"📈 Up",IF((T10-'Engine Inputs'!C10)/'Engine Inputs'!C10&gt;Config!$B$2,"📈 Up",IF((T10-'Engine Inputs'!C10)/'Engine Inputs'!C10&lt;-Config!$B$2,"📉 Down","➡ Stable"))))</f>
        <v/>
      </c>
      <c r="V10" s="2">
        <f>IF(AND(E10=0,D10=0),"",IF(E10=0,"📈 Up",IF((D10-E10)/E10&gt;Config!$B$2,"📈 Up",IF((D10-E10)/E10&lt;-Config!$B$2,"📉 Down","➡ Stable"))))</f>
        <v/>
      </c>
      <c r="W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3" t="n">
        <v>46225</v>
      </c>
      <c r="D11" s="4" t="n">
        <v>45.48</v>
      </c>
      <c r="E11" s="4" t="n">
        <v>159.54</v>
      </c>
      <c r="F11" s="4">
        <f>D11-E11</f>
        <v/>
      </c>
      <c r="G11" s="5">
        <f>IF(E11=0,"",(D11-E11)/E11)</f>
        <v/>
      </c>
      <c r="H11" s="4" t="n">
        <v>105.46</v>
      </c>
      <c r="I11" s="6" t="n">
        <v>4</v>
      </c>
      <c r="J11" s="6" t="n">
        <v>9</v>
      </c>
      <c r="K11" s="5">
        <f>IF(J11=0,"",(I11-J11)/J11)</f>
        <v/>
      </c>
      <c r="L11" s="6" t="n">
        <v>6</v>
      </c>
      <c r="M11" s="6" t="n">
        <v>5</v>
      </c>
      <c r="N11" s="4">
        <f>IF(I11=0,"",D11/I11)</f>
        <v/>
      </c>
      <c r="O11" s="6" t="n">
        <v>486</v>
      </c>
      <c r="P11" s="6" t="n">
        <v>450</v>
      </c>
      <c r="Q11" s="4" t="n">
        <v>26.57</v>
      </c>
      <c r="R11" s="2">
        <f>IF(AND('Engine Inputs'!D11=0,Q11=0),"",IF('Engine Inputs'!D11=0,"📈 Up",IF((Q11-'Engine Inputs'!D11)/'Engine Inputs'!D11&gt;Config!$B$2,"📈 Up",IF((Q11-'Engine Inputs'!D11)/'Engine Inputs'!D11&lt;-Config!$B$2,"📉 Down","➡ Stable"))))</f>
        <v/>
      </c>
      <c r="S11" s="6" t="n">
        <v>36</v>
      </c>
      <c r="T11" s="4" t="n">
        <v>6.7</v>
      </c>
      <c r="U11" s="2">
        <f>IF(AND('Engine Inputs'!C11=0,T11=0),"",IF('Engine Inputs'!C11=0,"📈 Up",IF((T11-'Engine Inputs'!C11)/'Engine Inputs'!C11&gt;Config!$B$2,"📈 Up",IF((T11-'Engine Inputs'!C11)/'Engine Inputs'!C11&lt;-Config!$B$2,"📉 Down","➡ Stable"))))</f>
        <v/>
      </c>
      <c r="V11" s="2">
        <f>IF(AND(E11=0,D11=0),"",IF(E11=0,"📈 Up",IF((D11-E11)/E11&gt;Config!$B$2,"📈 Up",IF((D11-E11)/E11&lt;-Config!$B$2,"📉 Down","➡ Stable"))))</f>
        <v/>
      </c>
      <c r="W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3" t="n">
        <v>46225</v>
      </c>
      <c r="D12" s="4" t="n">
        <v>157.59</v>
      </c>
      <c r="E12" s="4" t="n">
        <v>75.78</v>
      </c>
      <c r="F12" s="4">
        <f>D12-E12</f>
        <v/>
      </c>
      <c r="G12" s="5">
        <f>IF(E12=0,"",(D12-E12)/E12)</f>
        <v/>
      </c>
      <c r="H12" s="4" t="n">
        <v>82.87</v>
      </c>
      <c r="I12" s="6" t="n">
        <v>8</v>
      </c>
      <c r="J12" s="6" t="n">
        <v>8</v>
      </c>
      <c r="K12" s="5">
        <f>IF(J12=0,"",(I12-J12)/J12)</f>
        <v/>
      </c>
      <c r="L12" s="6" t="n">
        <v>10</v>
      </c>
      <c r="M12" s="6" t="n">
        <v>14</v>
      </c>
      <c r="N12" s="4">
        <f>IF(I12=0,"",D12/I12)</f>
        <v/>
      </c>
      <c r="O12" s="6" t="n">
        <v>474</v>
      </c>
      <c r="P12" s="6" t="n">
        <v>474</v>
      </c>
      <c r="Q12" s="4" t="n">
        <v>166.07</v>
      </c>
      <c r="R12" s="2">
        <f>IF(AND('Engine Inputs'!D12=0,Q12=0),"",IF('Engine Inputs'!D12=0,"📈 Up",IF((Q12-'Engine Inputs'!D12)/'Engine Inputs'!D12&gt;Config!$B$2,"📈 Up",IF((Q12-'Engine Inputs'!D12)/'Engine Inputs'!D12&lt;-Config!$B$2,"📉 Down","➡ Stable"))))</f>
        <v/>
      </c>
      <c r="S12" s="6" t="n">
        <v>0</v>
      </c>
      <c r="T12" s="4" t="n">
        <v>0</v>
      </c>
      <c r="U12" s="2">
        <f>IF(AND('Engine Inputs'!C12=0,T12=0),"",IF('Engine Inputs'!C12=0,"📈 Up",IF((T12-'Engine Inputs'!C12)/'Engine Inputs'!C12&gt;Config!$B$2,"📈 Up",IF((T12-'Engine Inputs'!C12)/'Engine Inputs'!C12&lt;-Config!$B$2,"📉 Down","➡ Stable"))))</f>
        <v/>
      </c>
      <c r="V12" s="2">
        <f>IF(AND(E12=0,D12=0),"",IF(E12=0,"📈 Up",IF((D12-E12)/E12&gt;Config!$B$2,"📈 Up",IF((D12-E12)/E12&lt;-Config!$B$2,"📉 Down","➡ Stable"))))</f>
        <v/>
      </c>
      <c r="W12" s="7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3" t="n">
        <v>46225</v>
      </c>
      <c r="D13" s="4" t="n">
        <v>41.99</v>
      </c>
      <c r="E13" s="4" t="n">
        <v>57.7</v>
      </c>
      <c r="F13" s="4">
        <f>D13-E13</f>
        <v/>
      </c>
      <c r="G13" s="5">
        <f>IF(E13=0,"",(D13-E13)/E13)</f>
        <v/>
      </c>
      <c r="H13" s="4" t="n">
        <v>27.34</v>
      </c>
      <c r="I13" s="6" t="n">
        <v>4</v>
      </c>
      <c r="J13" s="6" t="n">
        <v>2</v>
      </c>
      <c r="K13" s="5">
        <f>IF(J13=0,"",(I13-J13)/J13)</f>
        <v/>
      </c>
      <c r="L13" s="6" t="n">
        <v>3</v>
      </c>
      <c r="M13" s="6" t="n">
        <v>13</v>
      </c>
      <c r="N13" s="4">
        <f>IF(I13=0,"",D13/I13)</f>
        <v/>
      </c>
      <c r="O13" s="6" t="n">
        <v>468</v>
      </c>
      <c r="P13" s="6" t="n">
        <v>468</v>
      </c>
      <c r="Q13" s="4" t="n">
        <v>45.43</v>
      </c>
      <c r="R13" s="2">
        <f>IF(AND('Engine Inputs'!D13=0,Q13=0),"",IF('Engine Inputs'!D13=0,"📈 Up",IF((Q13-'Engine Inputs'!D13)/'Engine Inputs'!D13&gt;Config!$B$2,"📈 Up",IF((Q13-'Engine Inputs'!D13)/'Engine Inputs'!D13&lt;-Config!$B$2,"📉 Down","➡ Stable"))))</f>
        <v/>
      </c>
      <c r="S13" s="6" t="n">
        <v>0</v>
      </c>
      <c r="T13" s="4" t="n">
        <v>0</v>
      </c>
      <c r="U13" s="2">
        <f>IF(AND('Engine Inputs'!C13=0,T13=0),"",IF('Engine Inputs'!C13=0,"📈 Up",IF((T13-'Engine Inputs'!C13)/'Engine Inputs'!C13&gt;Config!$B$2,"📈 Up",IF((T13-'Engine Inputs'!C13)/'Engine Inputs'!C13&lt;-Config!$B$2,"📉 Down","➡ Stable"))))</f>
        <v/>
      </c>
      <c r="V13" s="2">
        <f>IF(AND(E13=0,D13=0),"",IF(E13=0,"📈 Up",IF((D13-E13)/E13&gt;Config!$B$2,"📈 Up",IF((D13-E13)/E13&lt;-Config!$B$2,"📉 Down","➡ Stable"))))</f>
        <v/>
      </c>
      <c r="W13" s="7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3" t="n">
        <v>46225</v>
      </c>
      <c r="D14" s="4" t="n">
        <v>0</v>
      </c>
      <c r="E14" s="4" t="n">
        <v>65.78</v>
      </c>
      <c r="F14" s="4">
        <f>D14-E14</f>
        <v/>
      </c>
      <c r="G14" s="5">
        <f>IF(E14=0,"",(D14-E14)/E14)</f>
        <v/>
      </c>
      <c r="H14" s="4" t="n">
        <v>314.72</v>
      </c>
      <c r="I14" s="6" t="n">
        <v>0</v>
      </c>
      <c r="J14" s="6" t="n">
        <v>2</v>
      </c>
      <c r="K14" s="5">
        <f>IF(J14=0,"",(I14-J14)/J14)</f>
        <v/>
      </c>
      <c r="L14" s="6" t="n">
        <v>6</v>
      </c>
      <c r="M14" s="6" t="n">
        <v>0</v>
      </c>
      <c r="N14" s="4">
        <f>IF(I14=0,"",D14/I14)</f>
        <v/>
      </c>
      <c r="O14" s="6" t="n">
        <v>403</v>
      </c>
      <c r="P14" s="6" t="n">
        <v>403</v>
      </c>
      <c r="Q14" s="4" t="n">
        <v>0</v>
      </c>
      <c r="R14" s="2">
        <f>IF(AND('Engine Inputs'!D14=0,Q14=0),"",IF('Engine Inputs'!D14=0,"📈 Up",IF((Q14-'Engine Inputs'!D14)/'Engine Inputs'!D14&gt;Config!$B$2,"📈 Up",IF((Q14-'Engine Inputs'!D14)/'Engine Inputs'!D14&lt;-Config!$B$2,"📉 Down","➡ Stable"))))</f>
        <v/>
      </c>
      <c r="S14" s="6" t="n">
        <v>0</v>
      </c>
      <c r="T14" s="4" t="n">
        <v>0</v>
      </c>
      <c r="U14" s="2">
        <f>IF(AND('Engine Inputs'!C14=0,T14=0),"",IF('Engine Inputs'!C14=0,"📈 Up",IF((T14-'Engine Inputs'!C14)/'Engine Inputs'!C14&gt;Config!$B$2,"📈 Up",IF((T14-'Engine Inputs'!C14)/'Engine Inputs'!C14&lt;-Config!$B$2,"📉 Down","➡ Stable"))))</f>
        <v/>
      </c>
      <c r="V14" s="2">
        <f>IF(AND(E14=0,D14=0),"",IF(E14=0,"📈 Up",IF((D14-E14)/E14&gt;Config!$B$2,"📈 Up",IF((D14-E14)/E14&lt;-Config!$B$2,"📉 Down","➡ Stable"))))</f>
        <v/>
      </c>
      <c r="W14" s="7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3" t="n">
        <v>46225</v>
      </c>
      <c r="D15" s="4" t="n">
        <v>0</v>
      </c>
      <c r="E15" s="4" t="n">
        <v>0</v>
      </c>
      <c r="F15" s="4">
        <f>D15-E15</f>
        <v/>
      </c>
      <c r="G15" s="5">
        <f>IF(E15=0,"",(D15-E15)/E15)</f>
        <v/>
      </c>
      <c r="H15" s="4" t="n">
        <v>0</v>
      </c>
      <c r="I15" s="6" t="n">
        <v>0</v>
      </c>
      <c r="J15" s="6" t="n">
        <v>0</v>
      </c>
      <c r="K15" s="5">
        <f>IF(J15=0,"",(I15-J15)/J15)</f>
        <v/>
      </c>
      <c r="L15" s="6" t="n">
        <v>0</v>
      </c>
      <c r="M15" s="6" t="n">
        <v>0</v>
      </c>
      <c r="N15" s="4">
        <f>IF(I15=0,"",D15/I15)</f>
        <v/>
      </c>
      <c r="O15" s="6" t="n">
        <v>391</v>
      </c>
      <c r="P15" s="6" t="n">
        <v>353</v>
      </c>
      <c r="Q15" s="4" t="n">
        <v>0</v>
      </c>
      <c r="R15" s="2">
        <f>IF(AND('Engine Inputs'!D15=0,Q15=0),"",IF('Engine Inputs'!D15=0,"📈 Up",IF((Q15-'Engine Inputs'!D15)/'Engine Inputs'!D15&gt;Config!$B$2,"📈 Up",IF((Q15-'Engine Inputs'!D15)/'Engine Inputs'!D15&lt;-Config!$B$2,"📉 Down","➡ Stable"))))</f>
        <v/>
      </c>
      <c r="S15" s="6" t="n">
        <v>38</v>
      </c>
      <c r="T15" s="4" t="n">
        <v>0</v>
      </c>
      <c r="U15" s="2">
        <f>IF(AND('Engine Inputs'!C15=0,T15=0),"",IF('Engine Inputs'!C15=0,"📈 Up",IF((T15-'Engine Inputs'!C15)/'Engine Inputs'!C15&gt;Config!$B$2,"📈 Up",IF((T15-'Engine Inputs'!C15)/'Engine Inputs'!C15&lt;-Config!$B$2,"📉 Down","➡ Stable"))))</f>
        <v/>
      </c>
      <c r="V15" s="2">
        <f>IF(AND(E15=0,D15=0),"",IF(E15=0,"📈 Up",IF((D15-E15)/E15&gt;Config!$B$2,"📈 Up",IF((D15-E15)/E15&lt;-Config!$B$2,"📉 Down","➡ Stable"))))</f>
        <v/>
      </c>
      <c r="W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3" t="n">
        <v>46225</v>
      </c>
      <c r="D16" s="4" t="n">
        <v>0</v>
      </c>
      <c r="E16" s="4" t="n">
        <v>0</v>
      </c>
      <c r="F16" s="4">
        <f>D16-E16</f>
        <v/>
      </c>
      <c r="G16" s="5">
        <f>IF(E16=0,"",(D16-E16)/E16)</f>
        <v/>
      </c>
      <c r="H16" s="4" t="n">
        <v>0</v>
      </c>
      <c r="I16" s="6" t="n">
        <v>0</v>
      </c>
      <c r="J16" s="6" t="n">
        <v>0</v>
      </c>
      <c r="K16" s="5">
        <f>IF(J16=0,"",(I16-J16)/J16)</f>
        <v/>
      </c>
      <c r="L16" s="6" t="n">
        <v>0</v>
      </c>
      <c r="M16" s="6" t="n">
        <v>0</v>
      </c>
      <c r="N16" s="4">
        <f>IF(I16=0,"",D16/I16)</f>
        <v/>
      </c>
      <c r="O16" s="6" t="n">
        <v>380</v>
      </c>
      <c r="P16" s="6" t="n">
        <v>377</v>
      </c>
      <c r="Q16" s="4" t="n">
        <v>0</v>
      </c>
      <c r="R16" s="2">
        <f>IF(AND('Engine Inputs'!D16=0,Q16=0),"",IF('Engine Inputs'!D16=0,"📈 Up",IF((Q16-'Engine Inputs'!D16)/'Engine Inputs'!D16&gt;Config!$B$2,"📈 Up",IF((Q16-'Engine Inputs'!D16)/'Engine Inputs'!D16&lt;-Config!$B$2,"📉 Down","➡ Stable"))))</f>
        <v/>
      </c>
      <c r="S16" s="6" t="n">
        <v>3</v>
      </c>
      <c r="T16" s="4" t="n">
        <v>0</v>
      </c>
      <c r="U16" s="2">
        <f>IF(AND('Engine Inputs'!C16=0,T16=0),"",IF('Engine Inputs'!C16=0,"📈 Up",IF((T16-'Engine Inputs'!C16)/'Engine Inputs'!C16&gt;Config!$B$2,"📈 Up",IF((T16-'Engine Inputs'!C16)/'Engine Inputs'!C16&lt;-Config!$B$2,"📉 Down","➡ Stable"))))</f>
        <v/>
      </c>
      <c r="V16" s="2">
        <f>IF(AND(E16=0,D16=0),"",IF(E16=0,"📈 Up",IF((D16-E16)/E16&gt;Config!$B$2,"📈 Up",IF((D16-E16)/E16&lt;-Config!$B$2,"📉 Down","➡ Stable"))))</f>
        <v/>
      </c>
      <c r="W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3" t="n">
        <v>46225</v>
      </c>
      <c r="D17" s="4" t="n">
        <v>0</v>
      </c>
      <c r="E17" s="4" t="n">
        <v>26.33</v>
      </c>
      <c r="F17" s="4">
        <f>D17-E17</f>
        <v/>
      </c>
      <c r="G17" s="5">
        <f>IF(E17=0,"",(D17-E17)/E17)</f>
        <v/>
      </c>
      <c r="H17" s="4" t="n">
        <v>0</v>
      </c>
      <c r="I17" s="6" t="n">
        <v>0</v>
      </c>
      <c r="J17" s="6" t="n">
        <v>1</v>
      </c>
      <c r="K17" s="5">
        <f>IF(J17=0,"",(I17-J17)/J17)</f>
        <v/>
      </c>
      <c r="L17" s="6" t="n">
        <v>0</v>
      </c>
      <c r="M17" s="6" t="n">
        <v>0</v>
      </c>
      <c r="N17" s="4">
        <f>IF(I17=0,"",D17/I17)</f>
        <v/>
      </c>
      <c r="O17" s="6" t="n">
        <v>368</v>
      </c>
      <c r="P17" s="6" t="n">
        <v>368</v>
      </c>
      <c r="Q17" s="4" t="n">
        <v>0</v>
      </c>
      <c r="R17" s="2">
        <f>IF(AND('Engine Inputs'!D17=0,Q17=0),"",IF('Engine Inputs'!D17=0,"📈 Up",IF((Q17-'Engine Inputs'!D17)/'Engine Inputs'!D17&gt;Config!$B$2,"📈 Up",IF((Q17-'Engine Inputs'!D17)/'Engine Inputs'!D17&lt;-Config!$B$2,"📉 Down","➡ Stable"))))</f>
        <v/>
      </c>
      <c r="S17" s="6" t="n">
        <v>0</v>
      </c>
      <c r="T17" s="4" t="n">
        <v>0</v>
      </c>
      <c r="U17" s="2">
        <f>IF(AND('Engine Inputs'!C17=0,T17=0),"",IF('Engine Inputs'!C17=0,"📈 Up",IF((T17-'Engine Inputs'!C17)/'Engine Inputs'!C17&gt;Config!$B$2,"📈 Up",IF((T17-'Engine Inputs'!C17)/'Engine Inputs'!C17&lt;-Config!$B$2,"📉 Down","➡ Stable"))))</f>
        <v/>
      </c>
      <c r="V17" s="2">
        <f>IF(AND(E17=0,D17=0),"",IF(E17=0,"📈 Up",IF((D17-E17)/E17&gt;Config!$B$2,"📈 Up",IF((D17-E17)/E17&lt;-Config!$B$2,"📉 Down","➡ Stable"))))</f>
        <v/>
      </c>
      <c r="W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3" t="n">
        <v>46225</v>
      </c>
      <c r="D18" s="4" t="n">
        <v>0</v>
      </c>
      <c r="E18" s="4" t="n">
        <v>29.62</v>
      </c>
      <c r="F18" s="4">
        <f>D18-E18</f>
        <v/>
      </c>
      <c r="G18" s="5">
        <f>IF(E18=0,"",(D18-E18)/E18)</f>
        <v/>
      </c>
      <c r="H18" s="4" t="n">
        <v>0</v>
      </c>
      <c r="I18" s="6" t="n">
        <v>0</v>
      </c>
      <c r="J18" s="6" t="n">
        <v>1</v>
      </c>
      <c r="K18" s="5">
        <f>IF(J18=0,"",(I18-J18)/J18)</f>
        <v/>
      </c>
      <c r="L18" s="6" t="n">
        <v>0</v>
      </c>
      <c r="M18" s="6" t="n">
        <v>0</v>
      </c>
      <c r="N18" s="4">
        <f>IF(I18=0,"",D18/I18)</f>
        <v/>
      </c>
      <c r="O18" s="6" t="n">
        <v>344</v>
      </c>
      <c r="P18" s="6" t="n">
        <v>328</v>
      </c>
      <c r="Q18" s="4" t="n">
        <v>0</v>
      </c>
      <c r="R18" s="2">
        <f>IF(AND('Engine Inputs'!D18=0,Q18=0),"",IF('Engine Inputs'!D18=0,"📈 Up",IF((Q18-'Engine Inputs'!D18)/'Engine Inputs'!D18&gt;Config!$B$2,"📈 Up",IF((Q18-'Engine Inputs'!D18)/'Engine Inputs'!D18&lt;-Config!$B$2,"📉 Down","➡ Stable"))))</f>
        <v/>
      </c>
      <c r="S18" s="6" t="n">
        <v>16</v>
      </c>
      <c r="T18" s="4" t="n">
        <v>0</v>
      </c>
      <c r="U18" s="2">
        <f>IF(AND('Engine Inputs'!C18=0,T18=0),"",IF('Engine Inputs'!C18=0,"📈 Up",IF((T18-'Engine Inputs'!C18)/'Engine Inputs'!C18&gt;Config!$B$2,"📈 Up",IF((T18-'Engine Inputs'!C18)/'Engine Inputs'!C18&lt;-Config!$B$2,"📉 Down","➡ Stable"))))</f>
        <v/>
      </c>
      <c r="V18" s="2">
        <f>IF(AND(E18=0,D18=0),"",IF(E18=0,"📈 Up",IF((D18-E18)/E18&gt;Config!$B$2,"📈 Up",IF((D18-E18)/E18&lt;-Config!$B$2,"📉 Down","➡ Stable"))))</f>
        <v/>
      </c>
      <c r="W18" s="7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3" t="n">
        <v>46225</v>
      </c>
      <c r="D19" s="4" t="n">
        <v>32.29</v>
      </c>
      <c r="E19" s="4" t="n">
        <v>78.15000000000001</v>
      </c>
      <c r="F19" s="4">
        <f>D19-E19</f>
        <v/>
      </c>
      <c r="G19" s="5">
        <f>IF(E19=0,"",(D19-E19)/E19)</f>
        <v/>
      </c>
      <c r="H19" s="4" t="n">
        <v>152.48</v>
      </c>
      <c r="I19" s="6" t="n">
        <v>2</v>
      </c>
      <c r="J19" s="6" t="n">
        <v>4</v>
      </c>
      <c r="K19" s="5">
        <f>IF(J19=0,"",(I19-J19)/J19)</f>
        <v/>
      </c>
      <c r="L19" s="6" t="n">
        <v>12</v>
      </c>
      <c r="M19" s="6" t="n">
        <v>2</v>
      </c>
      <c r="N19" s="4">
        <f>IF(I19=0,"",D19/I19)</f>
        <v/>
      </c>
      <c r="O19" s="6" t="n">
        <v>295</v>
      </c>
      <c r="P19" s="6" t="n">
        <v>295</v>
      </c>
      <c r="Q19" s="4" t="n">
        <v>28.84</v>
      </c>
      <c r="R19" s="2">
        <f>IF(AND('Engine Inputs'!D19=0,Q19=0),"",IF('Engine Inputs'!D19=0,"📈 Up",IF((Q19-'Engine Inputs'!D19)/'Engine Inputs'!D19&gt;Config!$B$2,"📈 Up",IF((Q19-'Engine Inputs'!D19)/'Engine Inputs'!D19&lt;-Config!$B$2,"📉 Down","➡ Stable"))))</f>
        <v/>
      </c>
      <c r="S19" s="6" t="n">
        <v>0</v>
      </c>
      <c r="T19" s="4" t="n">
        <v>0</v>
      </c>
      <c r="U19" s="2">
        <f>IF(AND('Engine Inputs'!C19=0,T19=0),"",IF('Engine Inputs'!C19=0,"📈 Up",IF((T19-'Engine Inputs'!C19)/'Engine Inputs'!C19&gt;Config!$B$2,"📈 Up",IF((T19-'Engine Inputs'!C19)/'Engine Inputs'!C19&lt;-Config!$B$2,"📉 Down","➡ Stable"))))</f>
        <v/>
      </c>
      <c r="V19" s="2">
        <f>IF(AND(E19=0,D19=0),"",IF(E19=0,"📈 Up",IF((D19-E19)/E19&gt;Config!$B$2,"📈 Up",IF((D19-E19)/E19&lt;-Config!$B$2,"📉 Down","➡ Stable"))))</f>
        <v/>
      </c>
      <c r="W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3" t="n">
        <v>46225</v>
      </c>
      <c r="D20" s="4" t="n">
        <v>0</v>
      </c>
      <c r="E20" s="4" t="n">
        <v>16.58</v>
      </c>
      <c r="F20" s="4">
        <f>D20-E20</f>
        <v/>
      </c>
      <c r="G20" s="5">
        <f>IF(E20=0,"",(D20-E20)/E20)</f>
        <v/>
      </c>
      <c r="H20" s="4" t="n">
        <v>0</v>
      </c>
      <c r="I20" s="6" t="n">
        <v>0</v>
      </c>
      <c r="J20" s="6" t="n">
        <v>1</v>
      </c>
      <c r="K20" s="5">
        <f>IF(J20=0,"",(I20-J20)/J20)</f>
        <v/>
      </c>
      <c r="L20" s="6" t="n">
        <v>0</v>
      </c>
      <c r="M20" s="6" t="n">
        <v>0</v>
      </c>
      <c r="N20" s="4">
        <f>IF(I20=0,"",D20/I20)</f>
        <v/>
      </c>
      <c r="O20" s="6" t="n">
        <v>247</v>
      </c>
      <c r="P20" s="6" t="n">
        <v>247</v>
      </c>
      <c r="Q20" s="4" t="n">
        <v>0</v>
      </c>
      <c r="R20" s="2">
        <f>IF(AND('Engine Inputs'!D20=0,Q20=0),"",IF('Engine Inputs'!D20=0,"📈 Up",IF((Q20-'Engine Inputs'!D20)/'Engine Inputs'!D20&gt;Config!$B$2,"📈 Up",IF((Q20-'Engine Inputs'!D20)/'Engine Inputs'!D20&lt;-Config!$B$2,"📉 Down","➡ Stable"))))</f>
        <v/>
      </c>
      <c r="S20" s="6" t="n">
        <v>0</v>
      </c>
      <c r="T20" s="4" t="n">
        <v>0</v>
      </c>
      <c r="U20" s="2">
        <f>IF(AND('Engine Inputs'!C20=0,T20=0),"",IF('Engine Inputs'!C20=0,"📈 Up",IF((T20-'Engine Inputs'!C20)/'Engine Inputs'!C20&gt;Config!$B$2,"📈 Up",IF((T20-'Engine Inputs'!C20)/'Engine Inputs'!C20&lt;-Config!$B$2,"📉 Down","➡ Stable"))))</f>
        <v/>
      </c>
      <c r="V20" s="2">
        <f>IF(AND(E20=0,D20=0),"",IF(E20=0,"📈 Up",IF((D20-E20)/E20&gt;Config!$B$2,"📈 Up",IF((D20-E20)/E20&lt;-Config!$B$2,"📉 Down","➡ Stable"))))</f>
        <v/>
      </c>
      <c r="W20" s="7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3" t="n">
        <v>46225</v>
      </c>
      <c r="D21" s="4" t="n">
        <v>0</v>
      </c>
      <c r="E21" s="4" t="n">
        <v>0</v>
      </c>
      <c r="F21" s="4">
        <f>D21-E21</f>
        <v/>
      </c>
      <c r="G21" s="5">
        <f>IF(E21=0,"",(D21-E21)/E21)</f>
        <v/>
      </c>
      <c r="H21" s="4" t="n">
        <v>0</v>
      </c>
      <c r="I21" s="6" t="n">
        <v>0</v>
      </c>
      <c r="J21" s="6" t="n">
        <v>0</v>
      </c>
      <c r="K21" s="5">
        <f>IF(J21=0,"",(I21-J21)/J21)</f>
        <v/>
      </c>
      <c r="L21" s="6" t="n">
        <v>0</v>
      </c>
      <c r="M21" s="6" t="n">
        <v>0</v>
      </c>
      <c r="N21" s="4">
        <f>IF(I21=0,"",D21/I21)</f>
        <v/>
      </c>
      <c r="O21" s="6" t="n">
        <v>184</v>
      </c>
      <c r="P21" s="6" t="n">
        <v>184</v>
      </c>
      <c r="Q21" s="4" t="n">
        <v>0</v>
      </c>
      <c r="R21" s="2">
        <f>IF(AND('Engine Inputs'!D21=0,Q21=0),"",IF('Engine Inputs'!D21=0,"📈 Up",IF((Q21-'Engine Inputs'!D21)/'Engine Inputs'!D21&gt;Config!$B$2,"📈 Up",IF((Q21-'Engine Inputs'!D21)/'Engine Inputs'!D21&lt;-Config!$B$2,"📉 Down","➡ Stable"))))</f>
        <v/>
      </c>
      <c r="S21" s="6" t="n">
        <v>0</v>
      </c>
      <c r="T21" s="4" t="n">
        <v>0</v>
      </c>
      <c r="U21" s="2">
        <f>IF(AND('Engine Inputs'!C21=0,T21=0),"",IF('Engine Inputs'!C21=0,"📈 Up",IF((T21-'Engine Inputs'!C21)/'Engine Inputs'!C21&gt;Config!$B$2,"📈 Up",IF((T21-'Engine Inputs'!C21)/'Engine Inputs'!C21&lt;-Config!$B$2,"📉 Down","➡ Stable"))))</f>
        <v/>
      </c>
      <c r="V21" s="2">
        <f>IF(AND(E21=0,D21=0),"",IF(E21=0,"📈 Up",IF((D21-E21)/E21&gt;Config!$B$2,"📈 Up",IF((D21-E21)/E21&lt;-Config!$B$2,"📉 Down","➡ Stable"))))</f>
        <v/>
      </c>
      <c r="W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3" t="n">
        <v>46225</v>
      </c>
      <c r="D22" s="4" t="n">
        <v>0</v>
      </c>
      <c r="E22" s="4" t="n">
        <v>0</v>
      </c>
      <c r="F22" s="4">
        <f>D22-E22</f>
        <v/>
      </c>
      <c r="G22" s="5">
        <f>IF(E22=0,"",(D22-E22)/E22)</f>
        <v/>
      </c>
      <c r="H22" s="4" t="n">
        <v>0</v>
      </c>
      <c r="I22" s="6" t="n">
        <v>0</v>
      </c>
      <c r="J22" s="6" t="n">
        <v>0</v>
      </c>
      <c r="K22" s="5">
        <f>IF(J22=0,"",(I22-J22)/J22)</f>
        <v/>
      </c>
      <c r="L22" s="6" t="n">
        <v>0</v>
      </c>
      <c r="M22" s="6" t="n">
        <v>0</v>
      </c>
      <c r="N22" s="4">
        <f>IF(I22=0,"",D22/I22)</f>
        <v/>
      </c>
      <c r="O22" s="6" t="n">
        <v>167</v>
      </c>
      <c r="P22" s="6" t="n">
        <v>148</v>
      </c>
      <c r="Q22" s="4" t="n">
        <v>0</v>
      </c>
      <c r="R22" s="2">
        <f>IF(AND('Engine Inputs'!D22=0,Q22=0),"",IF('Engine Inputs'!D22=0,"📈 Up",IF((Q22-'Engine Inputs'!D22)/'Engine Inputs'!D22&gt;Config!$B$2,"📈 Up",IF((Q22-'Engine Inputs'!D22)/'Engine Inputs'!D22&lt;-Config!$B$2,"📉 Down","➡ Stable"))))</f>
        <v/>
      </c>
      <c r="S22" s="6" t="n">
        <v>19</v>
      </c>
      <c r="T22" s="4" t="n">
        <v>0</v>
      </c>
      <c r="U22" s="2">
        <f>IF(AND('Engine Inputs'!C22=0,T22=0),"",IF('Engine Inputs'!C22=0,"📈 Up",IF((T22-'Engine Inputs'!C22)/'Engine Inputs'!C22&gt;Config!$B$2,"📈 Up",IF((T22-'Engine Inputs'!C22)/'Engine Inputs'!C22&lt;-Config!$B$2,"📉 Down","➡ Stable"))))</f>
        <v/>
      </c>
      <c r="V22" s="2">
        <f>IF(AND(E22=0,D22=0),"",IF(E22=0,"📈 Up",IF((D22-E22)/E22&gt;Config!$B$2,"📈 Up",IF((D22-E22)/E22&lt;-Config!$B$2,"📉 Down","➡ Stable"))))</f>
        <v/>
      </c>
      <c r="W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3" t="n">
        <v>46225</v>
      </c>
      <c r="D23" s="4" t="n">
        <v>152.91</v>
      </c>
      <c r="E23" s="4" t="n">
        <v>28.98</v>
      </c>
      <c r="F23" s="4">
        <f>D23-E23</f>
        <v/>
      </c>
      <c r="G23" s="5">
        <f>IF(E23=0,"",(D23-E23)/E23)</f>
        <v/>
      </c>
      <c r="H23" s="4" t="n">
        <v>0</v>
      </c>
      <c r="I23" s="6" t="n">
        <v>3</v>
      </c>
      <c r="J23" s="6" t="n">
        <v>2</v>
      </c>
      <c r="K23" s="5">
        <f>IF(J23=0,"",(I23-J23)/J23)</f>
        <v/>
      </c>
      <c r="L23" s="6" t="n">
        <v>0</v>
      </c>
      <c r="M23" s="6" t="n">
        <v>9</v>
      </c>
      <c r="N23" s="4">
        <f>IF(I23=0,"",D23/I23)</f>
        <v/>
      </c>
      <c r="O23" s="6" t="n">
        <v>164</v>
      </c>
      <c r="P23" s="6" t="n">
        <v>164</v>
      </c>
      <c r="Q23" s="4" t="n">
        <v>157.69</v>
      </c>
      <c r="R23" s="2">
        <f>IF(AND('Engine Inputs'!D23=0,Q23=0),"",IF('Engine Inputs'!D23=0,"📈 Up",IF((Q23-'Engine Inputs'!D23)/'Engine Inputs'!D23&gt;Config!$B$2,"📈 Up",IF((Q23-'Engine Inputs'!D23)/'Engine Inputs'!D23&lt;-Config!$B$2,"📉 Down","➡ Stable"))))</f>
        <v/>
      </c>
      <c r="S23" s="6" t="n">
        <v>0</v>
      </c>
      <c r="T23" s="4" t="n">
        <v>0</v>
      </c>
      <c r="U23" s="2">
        <f>IF(AND('Engine Inputs'!C23=0,T23=0),"",IF('Engine Inputs'!C23=0,"📈 Up",IF((T23-'Engine Inputs'!C23)/'Engine Inputs'!C23&gt;Config!$B$2,"📈 Up",IF((T23-'Engine Inputs'!C23)/'Engine Inputs'!C23&lt;-Config!$B$2,"📉 Down","➡ Stable"))))</f>
        <v/>
      </c>
      <c r="V23" s="2">
        <f>IF(AND(E23=0,D23=0),"",IF(E23=0,"📈 Up",IF((D23-E23)/E23&gt;Config!$B$2,"📈 Up",IF((D23-E23)/E23&lt;-Config!$B$2,"📉 Down","➡ Stable"))))</f>
        <v/>
      </c>
      <c r="W23" s="7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3" t="n">
        <v>46225</v>
      </c>
      <c r="D24" s="4" t="n">
        <v>0</v>
      </c>
      <c r="E24" s="4" t="n">
        <v>0</v>
      </c>
      <c r="F24" s="4">
        <f>D24-E24</f>
        <v/>
      </c>
      <c r="G24" s="5">
        <f>IF(E24=0,"",(D24-E24)/E24)</f>
        <v/>
      </c>
      <c r="H24" s="4" t="n">
        <v>0</v>
      </c>
      <c r="I24" s="6" t="n">
        <v>0</v>
      </c>
      <c r="J24" s="6" t="n">
        <v>0</v>
      </c>
      <c r="K24" s="5">
        <f>IF(J24=0,"",(I24-J24)/J24)</f>
        <v/>
      </c>
      <c r="L24" s="6" t="n">
        <v>0</v>
      </c>
      <c r="M24" s="6" t="n">
        <v>0</v>
      </c>
      <c r="N24" s="4">
        <f>IF(I24=0,"",D24/I24)</f>
        <v/>
      </c>
      <c r="O24" s="6" t="n">
        <v>154</v>
      </c>
      <c r="P24" s="6" t="n">
        <v>154</v>
      </c>
      <c r="Q24" s="4" t="n">
        <v>0</v>
      </c>
      <c r="R24" s="2">
        <f>IF(AND('Engine Inputs'!D24=0,Q24=0),"",IF('Engine Inputs'!D24=0,"📈 Up",IF((Q24-'Engine Inputs'!D24)/'Engine Inputs'!D24&gt;Config!$B$2,"📈 Up",IF((Q24-'Engine Inputs'!D24)/'Engine Inputs'!D24&lt;-Config!$B$2,"📉 Down","➡ Stable"))))</f>
        <v/>
      </c>
      <c r="S24" s="6" t="n">
        <v>0</v>
      </c>
      <c r="T24" s="4" t="n">
        <v>0</v>
      </c>
      <c r="U24" s="2">
        <f>IF(AND('Engine Inputs'!C24=0,T24=0),"",IF('Engine Inputs'!C24=0,"📈 Up",IF((T24-'Engine Inputs'!C24)/'Engine Inputs'!C24&gt;Config!$B$2,"📈 Up",IF((T24-'Engine Inputs'!C24)/'Engine Inputs'!C24&lt;-Config!$B$2,"📉 Down","➡ Stable"))))</f>
        <v/>
      </c>
      <c r="V24" s="2">
        <f>IF(AND(E24=0,D24=0),"",IF(E24=0,"📈 Up",IF((D24-E24)/E24&gt;Config!$B$2,"📈 Up",IF((D24-E24)/E24&lt;-Config!$B$2,"📉 Down","➡ Stable"))))</f>
        <v/>
      </c>
      <c r="W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3" t="n">
        <v>46225</v>
      </c>
      <c r="D25" s="4" t="n">
        <v>0</v>
      </c>
      <c r="E25" s="4" t="n">
        <v>0</v>
      </c>
      <c r="F25" s="4">
        <f>D25-E25</f>
        <v/>
      </c>
      <c r="G25" s="5">
        <f>IF(E25=0,"",(D25-E25)/E25)</f>
        <v/>
      </c>
      <c r="H25" s="4" t="n">
        <v>0</v>
      </c>
      <c r="I25" s="6" t="n">
        <v>0</v>
      </c>
      <c r="J25" s="6" t="n">
        <v>0</v>
      </c>
      <c r="K25" s="5">
        <f>IF(J25=0,"",(I25-J25)/J25)</f>
        <v/>
      </c>
      <c r="L25" s="6" t="n">
        <v>0</v>
      </c>
      <c r="M25" s="6" t="n">
        <v>0</v>
      </c>
      <c r="N25" s="4">
        <f>IF(I25=0,"",D25/I25)</f>
        <v/>
      </c>
      <c r="O25" s="6" t="n">
        <v>137</v>
      </c>
      <c r="P25" s="6" t="n">
        <v>137</v>
      </c>
      <c r="Q25" s="4" t="n">
        <v>0</v>
      </c>
      <c r="R25" s="2">
        <f>IF(AND('Engine Inputs'!D25=0,Q25=0),"",IF('Engine Inputs'!D25=0,"📈 Up",IF((Q25-'Engine Inputs'!D25)/'Engine Inputs'!D25&gt;Config!$B$2,"📈 Up",IF((Q25-'Engine Inputs'!D25)/'Engine Inputs'!D25&lt;-Config!$B$2,"📉 Down","➡ Stable"))))</f>
        <v/>
      </c>
      <c r="S25" s="6" t="n">
        <v>0</v>
      </c>
      <c r="T25" s="4" t="n">
        <v>0</v>
      </c>
      <c r="U25" s="2">
        <f>IF(AND('Engine Inputs'!C25=0,T25=0),"",IF('Engine Inputs'!C25=0,"📈 Up",IF((T25-'Engine Inputs'!C25)/'Engine Inputs'!C25&gt;Config!$B$2,"📈 Up",IF((T25-'Engine Inputs'!C25)/'Engine Inputs'!C25&lt;-Config!$B$2,"📉 Down","➡ Stable"))))</f>
        <v/>
      </c>
      <c r="V25" s="2">
        <f>IF(AND(E25=0,D25=0),"",IF(E25=0,"📈 Up",IF((D25-E25)/E25&gt;Config!$B$2,"📈 Up",IF((D25-E25)/E25&lt;-Config!$B$2,"📉 Down","➡ Stable"))))</f>
        <v/>
      </c>
      <c r="W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3" t="n">
        <v>46225</v>
      </c>
      <c r="D26" s="4" t="n">
        <v>0</v>
      </c>
      <c r="E26" s="4" t="n">
        <v>0</v>
      </c>
      <c r="F26" s="4">
        <f>D26-E26</f>
        <v/>
      </c>
      <c r="G26" s="5">
        <f>IF(E26=0,"",(D26-E26)/E26)</f>
        <v/>
      </c>
      <c r="H26" s="4" t="n">
        <v>0</v>
      </c>
      <c r="I26" s="6" t="n">
        <v>0</v>
      </c>
      <c r="J26" s="6" t="n">
        <v>0</v>
      </c>
      <c r="K26" s="5">
        <f>IF(J26=0,"",(I26-J26)/J26)</f>
        <v/>
      </c>
      <c r="L26" s="6" t="n">
        <v>0</v>
      </c>
      <c r="M26" s="6" t="n">
        <v>0</v>
      </c>
      <c r="N26" s="4">
        <f>IF(I26=0,"",D26/I26)</f>
        <v/>
      </c>
      <c r="O26" s="6" t="n">
        <v>70</v>
      </c>
      <c r="P26" s="6" t="n">
        <v>70</v>
      </c>
      <c r="Q26" s="4" t="n">
        <v>0</v>
      </c>
      <c r="R26" s="2">
        <f>IF(AND('Engine Inputs'!D26=0,Q26=0),"",IF('Engine Inputs'!D26=0,"📈 Up",IF((Q26-'Engine Inputs'!D26)/'Engine Inputs'!D26&gt;Config!$B$2,"📈 Up",IF((Q26-'Engine Inputs'!D26)/'Engine Inputs'!D26&lt;-Config!$B$2,"📉 Down","➡ Stable"))))</f>
        <v/>
      </c>
      <c r="S26" s="6" t="n">
        <v>0</v>
      </c>
      <c r="T26" s="4" t="n">
        <v>0</v>
      </c>
      <c r="U26" s="2">
        <f>IF(AND('Engine Inputs'!C26=0,T26=0),"",IF('Engine Inputs'!C26=0,"📈 Up",IF((T26-'Engine Inputs'!C26)/'Engine Inputs'!C26&gt;Config!$B$2,"📈 Up",IF((T26-'Engine Inputs'!C26)/'Engine Inputs'!C26&lt;-Config!$B$2,"📉 Down","➡ Stable"))))</f>
        <v/>
      </c>
      <c r="V26" s="2">
        <f>IF(AND(E26=0,D26=0),"",IF(E26=0,"📈 Up",IF((D26-E26)/E26&gt;Config!$B$2,"📈 Up",IF((D26-E26)/E26&lt;-Config!$B$2,"📉 Down","➡ Stable"))))</f>
        <v/>
      </c>
      <c r="W26" s="7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3" t="n">
        <v>46225</v>
      </c>
      <c r="D27" s="4" t="n">
        <v>0</v>
      </c>
      <c r="E27" s="4" t="n">
        <v>0</v>
      </c>
      <c r="F27" s="4">
        <f>D27-E27</f>
        <v/>
      </c>
      <c r="G27" s="5">
        <f>IF(E27=0,"",(D27-E27)/E27)</f>
        <v/>
      </c>
      <c r="H27" s="4" t="n">
        <v>0</v>
      </c>
      <c r="I27" s="6" t="n">
        <v>0</v>
      </c>
      <c r="J27" s="6" t="n">
        <v>0</v>
      </c>
      <c r="K27" s="5">
        <f>IF(J27=0,"",(I27-J27)/J27)</f>
        <v/>
      </c>
      <c r="L27" s="6" t="n">
        <v>0</v>
      </c>
      <c r="M27" s="6" t="n">
        <v>0</v>
      </c>
      <c r="N27" s="4">
        <f>IF(I27=0,"",D27/I27)</f>
        <v/>
      </c>
      <c r="O27" s="6" t="n">
        <v>65</v>
      </c>
      <c r="P27" s="6" t="n">
        <v>65</v>
      </c>
      <c r="Q27" s="4" t="n">
        <v>0</v>
      </c>
      <c r="R27" s="2">
        <f>IF(AND('Engine Inputs'!D27=0,Q27=0),"",IF('Engine Inputs'!D27=0,"📈 Up",IF((Q27-'Engine Inputs'!D27)/'Engine Inputs'!D27&gt;Config!$B$2,"📈 Up",IF((Q27-'Engine Inputs'!D27)/'Engine Inputs'!D27&lt;-Config!$B$2,"📉 Down","➡ Stable"))))</f>
        <v/>
      </c>
      <c r="S27" s="6" t="n">
        <v>0</v>
      </c>
      <c r="T27" s="4" t="n">
        <v>0</v>
      </c>
      <c r="U27" s="2">
        <f>IF(AND('Engine Inputs'!C27=0,T27=0),"",IF('Engine Inputs'!C27=0,"📈 Up",IF((T27-'Engine Inputs'!C27)/'Engine Inputs'!C27&gt;Config!$B$2,"📈 Up",IF((T27-'Engine Inputs'!C27)/'Engine Inputs'!C27&lt;-Config!$B$2,"📉 Down","➡ Stable"))))</f>
        <v/>
      </c>
      <c r="V27" s="2">
        <f>IF(AND(E27=0,D27=0),"",IF(E27=0,"📈 Up",IF((D27-E27)/E27&gt;Config!$B$2,"📈 Up",IF((D27-E27)/E27&lt;-Config!$B$2,"📉 Down","➡ Stable"))))</f>
        <v/>
      </c>
      <c r="W27" s="7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3" t="n">
        <v>46225</v>
      </c>
      <c r="D28" s="4" t="n">
        <v>0</v>
      </c>
      <c r="E28" s="4" t="n">
        <v>0</v>
      </c>
      <c r="F28" s="4">
        <f>D28-E28</f>
        <v/>
      </c>
      <c r="G28" s="5">
        <f>IF(E28=0,"",(D28-E28)/E28)</f>
        <v/>
      </c>
      <c r="H28" s="4" t="n">
        <v>0</v>
      </c>
      <c r="I28" s="6" t="n">
        <v>0</v>
      </c>
      <c r="J28" s="6" t="n">
        <v>0</v>
      </c>
      <c r="K28" s="5">
        <f>IF(J28=0,"",(I28-J28)/J28)</f>
        <v/>
      </c>
      <c r="L28" s="6" t="n">
        <v>0</v>
      </c>
      <c r="M28" s="6" t="n">
        <v>0</v>
      </c>
      <c r="N28" s="4">
        <f>IF(I28=0,"",D28/I28)</f>
        <v/>
      </c>
      <c r="O28" s="6" t="n">
        <v>14</v>
      </c>
      <c r="P28" s="6" t="n">
        <v>14</v>
      </c>
      <c r="Q28" s="4" t="n">
        <v>0</v>
      </c>
      <c r="R28" s="2">
        <f>IF(AND('Engine Inputs'!D28=0,Q28=0),"",IF('Engine Inputs'!D28=0,"📈 Up",IF((Q28-'Engine Inputs'!D28)/'Engine Inputs'!D28&gt;Config!$B$2,"📈 Up",IF((Q28-'Engine Inputs'!D28)/'Engine Inputs'!D28&lt;-Config!$B$2,"📉 Down","➡ Stable"))))</f>
        <v/>
      </c>
      <c r="S28" s="6" t="n">
        <v>0</v>
      </c>
      <c r="T28" s="4" t="n">
        <v>0</v>
      </c>
      <c r="U28" s="2">
        <f>IF(AND('Engine Inputs'!C28=0,T28=0),"",IF('Engine Inputs'!C28=0,"📈 Up",IF((T28-'Engine Inputs'!C28)/'Engine Inputs'!C28&gt;Config!$B$2,"📈 Up",IF((T28-'Engine Inputs'!C28)/'Engine Inputs'!C28&lt;-Config!$B$2,"📉 Down","➡ Stable"))))</f>
        <v/>
      </c>
      <c r="V28" s="2">
        <f>IF(AND(E28=0,D28=0),"",IF(E28=0,"📈 Up",IF((D28-E28)/E28&gt;Config!$B$2,"📈 Up",IF((D28-E28)/E28&lt;-Config!$B$2,"📉 Down","➡ Stable"))))</f>
        <v/>
      </c>
      <c r="W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3" t="n">
        <v>46225</v>
      </c>
      <c r="D29" s="4" t="n">
        <v>0</v>
      </c>
      <c r="E29" s="4" t="n">
        <v>0</v>
      </c>
      <c r="F29" s="4">
        <f>D29-E29</f>
        <v/>
      </c>
      <c r="G29" s="5">
        <f>IF(E29=0,"",(D29-E29)/E29)</f>
        <v/>
      </c>
      <c r="H29" s="4" t="n">
        <v>0</v>
      </c>
      <c r="I29" s="6" t="n">
        <v>0</v>
      </c>
      <c r="J29" s="6" t="n">
        <v>0</v>
      </c>
      <c r="K29" s="5">
        <f>IF(J29=0,"",(I29-J29)/J29)</f>
        <v/>
      </c>
      <c r="L29" s="6" t="n">
        <v>0</v>
      </c>
      <c r="M29" s="6" t="n">
        <v>0</v>
      </c>
      <c r="N29" s="4">
        <f>IF(I29=0,"",D29/I29)</f>
        <v/>
      </c>
      <c r="O29" s="6" t="n">
        <v>6</v>
      </c>
      <c r="P29" s="6" t="n">
        <v>6</v>
      </c>
      <c r="Q29" s="4" t="n">
        <v>0</v>
      </c>
      <c r="R29" s="2">
        <f>IF(AND('Engine Inputs'!D29=0,Q29=0),"",IF('Engine Inputs'!D29=0,"📈 Up",IF((Q29-'Engine Inputs'!D29)/'Engine Inputs'!D29&gt;Config!$B$2,"📈 Up",IF((Q29-'Engine Inputs'!D29)/'Engine Inputs'!D29&lt;-Config!$B$2,"📉 Down","➡ Stable"))))</f>
        <v/>
      </c>
      <c r="S29" s="6" t="n">
        <v>0</v>
      </c>
      <c r="T29" s="4" t="n">
        <v>0</v>
      </c>
      <c r="U29" s="2">
        <f>IF(AND('Engine Inputs'!C29=0,T29=0),"",IF('Engine Inputs'!C29=0,"📈 Up",IF((T29-'Engine Inputs'!C29)/'Engine Inputs'!C29&gt;Config!$B$2,"📈 Up",IF((T29-'Engine Inputs'!C29)/'Engine Inputs'!C29&lt;-Config!$B$2,"📉 Down","➡ Stable"))))</f>
        <v/>
      </c>
      <c r="V29" s="2">
        <f>IF(AND(E29=0,D29=0),"",IF(E29=0,"📈 Up",IF((D29-E29)/E29&gt;Config!$B$2,"📈 Up",IF((D29-E29)/E29&lt;-Config!$B$2,"📉 Down","➡ Stable"))))</f>
        <v/>
      </c>
      <c r="W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3" t="n">
        <v>46225</v>
      </c>
      <c r="D30" s="4" t="n">
        <v>0</v>
      </c>
      <c r="E30" s="4" t="n">
        <v>0</v>
      </c>
      <c r="F30" s="4">
        <f>D30-E30</f>
        <v/>
      </c>
      <c r="G30" s="5">
        <f>IF(E30=0,"",(D30-E30)/E30)</f>
        <v/>
      </c>
      <c r="H30" s="4" t="n">
        <v>0</v>
      </c>
      <c r="I30" s="6" t="n">
        <v>0</v>
      </c>
      <c r="J30" s="6" t="n">
        <v>0</v>
      </c>
      <c r="K30" s="5">
        <f>IF(J30=0,"",(I30-J30)/J30)</f>
        <v/>
      </c>
      <c r="L30" s="6" t="n">
        <v>0</v>
      </c>
      <c r="M30" s="6" t="n">
        <v>0</v>
      </c>
      <c r="N30" s="4">
        <f>IF(I30=0,"",D30/I30)</f>
        <v/>
      </c>
      <c r="O30" s="6" t="n">
        <v>2</v>
      </c>
      <c r="P30" s="6" t="n">
        <v>2</v>
      </c>
      <c r="Q30" s="4" t="n">
        <v>0</v>
      </c>
      <c r="R30" s="2">
        <f>IF(AND('Engine Inputs'!D30=0,Q30=0),"",IF('Engine Inputs'!D30=0,"📈 Up",IF((Q30-'Engine Inputs'!D30)/'Engine Inputs'!D30&gt;Config!$B$2,"📈 Up",IF((Q30-'Engine Inputs'!D30)/'Engine Inputs'!D30&lt;-Config!$B$2,"📉 Down","➡ Stable"))))</f>
        <v/>
      </c>
      <c r="S30" s="6" t="n">
        <v>0</v>
      </c>
      <c r="T30" s="4" t="n">
        <v>0</v>
      </c>
      <c r="U30" s="2">
        <f>IF(AND('Engine Inputs'!C30=0,T30=0),"",IF('Engine Inputs'!C30=0,"📈 Up",IF((T30-'Engine Inputs'!C30)/'Engine Inputs'!C30&gt;Config!$B$2,"📈 Up",IF((T30-'Engine Inputs'!C30)/'Engine Inputs'!C30&lt;-Config!$B$2,"📉 Down","➡ Stable"))))</f>
        <v/>
      </c>
      <c r="V30" s="2">
        <f>IF(AND(E30=0,D30=0),"",IF(E30=0,"📈 Up",IF((D30-E30)/E30&gt;Config!$B$2,"📈 Up",IF((D30-E30)/E30&lt;-Config!$B$2,"📉 Down","➡ Stable"))))</f>
        <v/>
      </c>
      <c r="W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3" t="n">
        <v>46225</v>
      </c>
      <c r="D31" s="4" t="n">
        <v>0</v>
      </c>
      <c r="E31" s="4" t="n">
        <v>0</v>
      </c>
      <c r="F31" s="4">
        <f>D31-E31</f>
        <v/>
      </c>
      <c r="G31" s="5">
        <f>IF(E31=0,"",(D31-E31)/E31)</f>
        <v/>
      </c>
      <c r="H31" s="4" t="n">
        <v>0</v>
      </c>
      <c r="I31" s="6" t="n">
        <v>0</v>
      </c>
      <c r="J31" s="6" t="n">
        <v>0</v>
      </c>
      <c r="K31" s="5">
        <f>IF(J31=0,"",(I31-J31)/J31)</f>
        <v/>
      </c>
      <c r="L31" s="6" t="n">
        <v>0</v>
      </c>
      <c r="M31" s="6" t="n">
        <v>0</v>
      </c>
      <c r="N31" s="4">
        <f>IF(I31=0,"",D31/I31)</f>
        <v/>
      </c>
      <c r="O31" s="6" t="n">
        <v>2</v>
      </c>
      <c r="P31" s="6" t="n">
        <v>2</v>
      </c>
      <c r="Q31" s="4" t="n">
        <v>0</v>
      </c>
      <c r="R31" s="2">
        <f>IF(AND('Engine Inputs'!D31=0,Q31=0),"",IF('Engine Inputs'!D31=0,"📈 Up",IF((Q31-'Engine Inputs'!D31)/'Engine Inputs'!D31&gt;Config!$B$2,"📈 Up",IF((Q31-'Engine Inputs'!D31)/'Engine Inputs'!D31&lt;-Config!$B$2,"📉 Down","➡ Stable"))))</f>
        <v/>
      </c>
      <c r="S31" s="6" t="n">
        <v>0</v>
      </c>
      <c r="T31" s="4" t="n">
        <v>0</v>
      </c>
      <c r="U31" s="2">
        <f>IF(AND('Engine Inputs'!C31=0,T31=0),"",IF('Engine Inputs'!C31=0,"📈 Up",IF((T31-'Engine Inputs'!C31)/'Engine Inputs'!C31&gt;Config!$B$2,"📈 Up",IF((T31-'Engine Inputs'!C31)/'Engine Inputs'!C31&lt;-Config!$B$2,"📉 Down","➡ Stable"))))</f>
        <v/>
      </c>
      <c r="V31" s="2">
        <f>IF(AND(E31=0,D31=0),"",IF(E31=0,"📈 Up",IF((D31-E31)/E31&gt;Config!$B$2,"📈 Up",IF((D31-E31)/E31&lt;-Config!$B$2,"📉 Down","➡ Stable"))))</f>
        <v/>
      </c>
      <c r="W31" s="2" t="inlineStr">
        <is>
          <t>Jarsini</t>
        </is>
      </c>
    </row>
  </sheetData>
  <autoFilter ref="A1:W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8" t="inlineStr">
        <is>
          <t>Daily Sales Track — KPI Summary</t>
        </is>
      </c>
    </row>
    <row r="2">
      <c r="A2" t="inlineStr">
        <is>
          <t>Reporting day</t>
        </is>
      </c>
      <c r="B2" s="9" t="n">
        <v>46225</v>
      </c>
    </row>
    <row r="3">
      <c r="A3" t="inlineStr">
        <is>
          <t>Generated</t>
        </is>
      </c>
      <c r="B3" s="9" t="n">
        <v>46226</v>
      </c>
    </row>
    <row r="5">
      <c r="A5" s="10" t="inlineStr">
        <is>
          <t>KPI</t>
        </is>
      </c>
      <c r="B5" s="10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</t>
        </is>
      </c>
      <c r="B7" s="4">
        <f>SUM('Daily Sales Track'!D2:D31)</f>
        <v/>
      </c>
    </row>
    <row r="8">
      <c r="A8" s="2" t="inlineStr">
        <is>
          <t>Total Sales Yesterday</t>
        </is>
      </c>
      <c r="B8" s="4">
        <f>SUM('Daily Sales Track'!E2:E31)</f>
        <v/>
      </c>
    </row>
    <row r="9">
      <c r="A9" s="2" t="inlineStr">
        <is>
          <t>Overall Growth</t>
        </is>
      </c>
      <c r="B9" s="5">
        <f>IF(B8=0,"",(B7-B8)/B8)</f>
        <v/>
      </c>
    </row>
    <row r="10">
      <c r="A10" s="2" t="inlineStr">
        <is>
          <t>Total Orders</t>
        </is>
      </c>
      <c r="B10" s="6">
        <f>SUM('Daily Sales Track'!I2:I31)</f>
        <v/>
      </c>
    </row>
    <row r="11">
      <c r="A11" s="2" t="inlineStr">
        <is>
          <t>Yesterday Orders</t>
        </is>
      </c>
      <c r="B11" s="6">
        <f>SUM('Daily Sales Track'!J2:J31)</f>
        <v/>
      </c>
    </row>
    <row r="12">
      <c r="A12" s="2" t="inlineStr">
        <is>
          <t>Order Growth</t>
        </is>
      </c>
      <c r="B12" s="5">
        <f>IF(B11=0,"",(B10-B11)/B11)</f>
        <v/>
      </c>
    </row>
    <row r="13">
      <c r="A13" s="2" t="inlineStr">
        <is>
          <t>Total Units Sold</t>
        </is>
      </c>
      <c r="B13" s="6">
        <f>SUM('Daily Sales Track'!M2:M31)</f>
        <v/>
      </c>
    </row>
    <row r="14">
      <c r="A14" s="2" t="inlineStr">
        <is>
          <t>Average Order Value</t>
        </is>
      </c>
      <c r="B14" s="4">
        <f>IF(B10=0,"",B7/B10)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Editable engine configuration</t>
        </is>
      </c>
    </row>
    <row r="2">
      <c r="A2" t="inlineStr">
        <is>
          <t>Trend band (+/-)</t>
        </is>
      </c>
      <c r="B2" s="11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22" customWidth="1" min="3" max="3"/>
    <col width="22" customWidth="1" min="4" max="4"/>
  </cols>
  <sheetData>
    <row r="1">
      <c r="A1" s="10" t="inlineStr">
        <is>
          <t>Account</t>
        </is>
      </c>
      <c r="B1" s="10" t="inlineStr">
        <is>
          <t>Market</t>
        </is>
      </c>
      <c r="C1" s="10" t="inlineStr">
        <is>
          <t>PH Sales 2026-07-21</t>
        </is>
      </c>
      <c r="D1" s="10" t="inlineStr">
        <is>
          <t>AH Sales 2026-07-21</t>
        </is>
      </c>
      <c r="F1" s="12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13" t="n">
        <v>534.77</v>
      </c>
      <c r="D2" s="13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13" t="n">
        <v>292.81</v>
      </c>
      <c r="D3" s="13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13" t="n">
        <v>7.41</v>
      </c>
      <c r="D4" s="13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13" t="n">
        <v>53.83</v>
      </c>
      <c r="D5" s="13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13" t="n">
        <v>30.07</v>
      </c>
      <c r="D6" s="13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13" t="n">
        <v>0</v>
      </c>
      <c r="D7" s="13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13" t="n">
        <v>0</v>
      </c>
      <c r="D8" s="13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13" t="n">
        <v>60.27</v>
      </c>
      <c r="D9" s="13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13" t="n">
        <v>0</v>
      </c>
      <c r="D10" s="13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13" t="n">
        <v>0</v>
      </c>
      <c r="D11" s="13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13" t="n">
        <v>0</v>
      </c>
      <c r="D12" s="13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13" t="n">
        <v>0</v>
      </c>
      <c r="D13" s="13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13" t="n">
        <v>0</v>
      </c>
      <c r="D14" s="13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13" t="n">
        <v>0</v>
      </c>
      <c r="D15" s="13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13" t="n">
        <v>0</v>
      </c>
      <c r="D16" s="13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13" t="n">
        <v>0</v>
      </c>
      <c r="D17" s="13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13" t="n">
        <v>0</v>
      </c>
      <c r="D18" s="13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13" t="n">
        <v>0</v>
      </c>
      <c r="D19" s="13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13" t="n">
        <v>0</v>
      </c>
      <c r="D20" s="13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13" t="n">
        <v>0</v>
      </c>
      <c r="D21" s="13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13" t="n">
        <v>0</v>
      </c>
      <c r="D22" s="13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13" t="n">
        <v>0</v>
      </c>
      <c r="D23" s="13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13" t="n">
        <v>0</v>
      </c>
      <c r="D24" s="13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13" t="n">
        <v>0</v>
      </c>
      <c r="D25" s="13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13" t="n">
        <v>0</v>
      </c>
      <c r="D26" s="13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13" t="n">
        <v>0</v>
      </c>
      <c r="D27" s="13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13" t="n">
        <v>0</v>
      </c>
      <c r="D28" s="13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13" t="n">
        <v>0</v>
      </c>
      <c r="D29" s="13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13" t="n">
        <v>0</v>
      </c>
      <c r="D30" s="13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13" t="n">
        <v>0</v>
      </c>
      <c r="D31" s="1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8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2026-07-23T09:10:25Z</dcterms:created>
  <dcterms:modified xmlns:dcterms="http://purl.org/dc/terms/" xmlns:xsi="http://www.w3.org/2001/XMLSchema-instance" xsi:type="dcterms:W3CDTF">2026-07-23T09:10:25Z</dcterms:modified>
</cp:coreProperties>
</file>