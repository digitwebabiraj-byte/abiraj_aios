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ales Track" sheetId="1" r:id="rId5"/>
  </sheets>
  <definedNames/>
  <calcPr/>
</workbook>
</file>

<file path=xl/sharedStrings.xml><?xml version="1.0" encoding="utf-8"?>
<sst xmlns="http://schemas.openxmlformats.org/spreadsheetml/2006/main" count="66" uniqueCount="46">
  <si>
    <t>Account</t>
  </si>
  <si>
    <t>Date</t>
  </si>
  <si>
    <t>Today's Sales (£)</t>
  </si>
  <si>
    <t>Yesterday Sales (£)</t>
  </si>
  <si>
    <t>Sales Diff (£)</t>
  </si>
  <si>
    <t>Sales Growth %</t>
  </si>
  <si>
    <t>Same Day LY Sales (£)</t>
  </si>
  <si>
    <t>Today's Orders</t>
  </si>
  <si>
    <t>Yesterday Orders</t>
  </si>
  <si>
    <t>Order Growth %</t>
  </si>
  <si>
    <t>Same Day LY Orders</t>
  </si>
  <si>
    <t>Units Sold</t>
  </si>
  <si>
    <t>Avg Order Value (£)</t>
  </si>
  <si>
    <t>Best Seller</t>
  </si>
  <si>
    <t>Active Listing</t>
  </si>
  <si>
    <t>AH Listing</t>
  </si>
  <si>
    <t>AH Listing Sales</t>
  </si>
  <si>
    <t>AH Sales Trend</t>
  </si>
  <si>
    <t>PH Listing</t>
  </si>
  <si>
    <t>PH Listing Sales</t>
  </si>
  <si>
    <t>PH Sales Trend</t>
  </si>
  <si>
    <t>Account Sales Trend</t>
  </si>
  <si>
    <t>LEDSONE UK</t>
  </si>
  <si>
    <t>LED Flood Light 100W</t>
  </si>
  <si>
    <t>📈 Up</t>
  </si>
  <si>
    <t>ELECTRICALSONE UK</t>
  </si>
  <si>
    <t>LED Ceiling Light</t>
  </si>
  <si>
    <t>📉 Down</t>
  </si>
  <si>
    <t>Solar Wall Light</t>
  </si>
  <si>
    <t>LED Batten Light</t>
  </si>
  <si>
    <t>Garden Spike Light</t>
  </si>
  <si>
    <t>Under Cabinet Light</t>
  </si>
  <si>
    <t>➡ Stable</t>
  </si>
  <si>
    <t>KPI</t>
  </si>
  <si>
    <t>Value</t>
  </si>
  <si>
    <t>Total Accounts</t>
  </si>
  <si>
    <t>Total Sales Today</t>
  </si>
  <si>
    <t>£22,493.05</t>
  </si>
  <si>
    <t>Total Sales Yesterday</t>
  </si>
  <si>
    <t>£21,971.65</t>
  </si>
  <si>
    <t>Overall Growth</t>
  </si>
  <si>
    <t>Total Orders</t>
  </si>
  <si>
    <t>Order Growth</t>
  </si>
  <si>
    <t>Total Units Sold</t>
  </si>
  <si>
    <t>Average Order Value</t>
  </si>
  <si>
    <t>£35.76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</si>
</sst>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4">
    <font>
      <sz val="10.0"/>
      <color rgb="FF000000"/>
      <name val="Arial"/>
      <scheme val="minor"/>
    </font>
    <font>
      <b/>
      <sz val="9.0"/>
      <color theme="1"/>
      <name val="Calibri"/>
    </font>
    <font>
      <color theme="1"/>
      <name val="Arial"/>
      <scheme val="minor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4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10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3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  <c r="X1" s="3"/>
      <c r="Y1" s="3"/>
      <c r="Z1" s="3"/>
      <c r="AA1" s="3"/>
      <c r="AB1" s="3"/>
      <c r="AC1" s="3"/>
      <c r="AD1" s="3"/>
      <c r="AE1" s="3"/>
    </row>
    <row r="2">
      <c r="A2" s="4" t="s">
        <v>22</v>
      </c>
      <c r="B2" s="5">
        <v>46226.0</v>
      </c>
      <c r="C2" s="6">
        <v>5420.5</v>
      </c>
      <c r="D2" s="6">
        <v>4985.2</v>
      </c>
      <c r="E2" s="7">
        <f>+435.3</f>
        <v>435.3</v>
      </c>
      <c r="F2" s="7">
        <f>+8.73%</f>
        <v>0.0873</v>
      </c>
      <c r="G2" s="6">
        <v>4312.8</v>
      </c>
      <c r="H2" s="8">
        <v>148.0</v>
      </c>
      <c r="I2" s="8">
        <v>136.0</v>
      </c>
      <c r="J2" s="7">
        <f>+8.82%</f>
        <v>0.0882</v>
      </c>
      <c r="K2" s="8">
        <v>119.0</v>
      </c>
      <c r="L2" s="8">
        <v>382.0</v>
      </c>
      <c r="M2" s="8">
        <v>36.63</v>
      </c>
      <c r="N2" s="4" t="s">
        <v>23</v>
      </c>
      <c r="O2" s="4">
        <v>1212.0</v>
      </c>
      <c r="P2" s="4"/>
      <c r="Q2" s="4"/>
      <c r="R2" s="4" t="s">
        <v>24</v>
      </c>
      <c r="S2" s="4"/>
      <c r="T2" s="4"/>
      <c r="U2" s="4" t="s">
        <v>24</v>
      </c>
      <c r="V2" s="4" t="s">
        <v>24</v>
      </c>
      <c r="W2" s="3"/>
      <c r="X2" s="3"/>
      <c r="Y2" s="3"/>
      <c r="Z2" s="3"/>
      <c r="AA2" s="3"/>
      <c r="AB2" s="3"/>
      <c r="AC2" s="3"/>
      <c r="AD2" s="3"/>
      <c r="AE2" s="3"/>
    </row>
    <row r="3">
      <c r="A3" s="4" t="s">
        <v>25</v>
      </c>
      <c r="B3" s="5">
        <v>46226.0</v>
      </c>
      <c r="C3" s="6">
        <v>3215.9</v>
      </c>
      <c r="D3" s="6">
        <v>3684.4</v>
      </c>
      <c r="E3" s="8">
        <v>-468.5</v>
      </c>
      <c r="F3" s="9">
        <v>-0.1272</v>
      </c>
      <c r="G3" s="6">
        <v>3092.6</v>
      </c>
      <c r="H3" s="8">
        <v>91.0</v>
      </c>
      <c r="I3" s="8">
        <v>103.0</v>
      </c>
      <c r="J3" s="9">
        <v>-0.1165</v>
      </c>
      <c r="K3" s="8">
        <v>87.0</v>
      </c>
      <c r="L3" s="8">
        <v>208.0</v>
      </c>
      <c r="M3" s="8">
        <v>35.34</v>
      </c>
      <c r="N3" s="4" t="s">
        <v>26</v>
      </c>
      <c r="O3" s="4">
        <v>12.0</v>
      </c>
      <c r="P3" s="4"/>
      <c r="Q3" s="4"/>
      <c r="R3" s="4" t="s">
        <v>27</v>
      </c>
      <c r="S3" s="4"/>
      <c r="T3" s="4"/>
      <c r="U3" s="4" t="s">
        <v>27</v>
      </c>
      <c r="V3" s="4" t="s">
        <v>27</v>
      </c>
      <c r="W3" s="3"/>
      <c r="X3" s="3"/>
      <c r="Y3" s="3"/>
      <c r="Z3" s="3"/>
      <c r="AA3" s="3"/>
      <c r="AB3" s="3"/>
      <c r="AC3" s="3"/>
      <c r="AD3" s="3"/>
      <c r="AE3" s="3"/>
    </row>
    <row r="4">
      <c r="A4" s="4" t="s">
        <v>25</v>
      </c>
      <c r="B4" s="5">
        <v>46226.0</v>
      </c>
      <c r="C4" s="6">
        <v>4812.1</v>
      </c>
      <c r="D4" s="6">
        <v>4501.0</v>
      </c>
      <c r="E4" s="7">
        <f>+311.1</f>
        <v>311.1</v>
      </c>
      <c r="F4" s="7">
        <f>+6.91%</f>
        <v>0.0691</v>
      </c>
      <c r="G4" s="6">
        <v>4065.4</v>
      </c>
      <c r="H4" s="8">
        <v>134.0</v>
      </c>
      <c r="I4" s="8">
        <v>126.0</v>
      </c>
      <c r="J4" s="7">
        <f>+6.35%</f>
        <v>0.0635</v>
      </c>
      <c r="K4" s="8">
        <v>112.0</v>
      </c>
      <c r="L4" s="8">
        <v>347.0</v>
      </c>
      <c r="M4" s="8">
        <v>35.91</v>
      </c>
      <c r="N4" s="4" t="s">
        <v>28</v>
      </c>
      <c r="O4" s="4">
        <v>2222.0</v>
      </c>
      <c r="P4" s="4"/>
      <c r="Q4" s="4"/>
      <c r="R4" s="4" t="s">
        <v>24</v>
      </c>
      <c r="S4" s="4"/>
      <c r="T4" s="4"/>
      <c r="U4" s="4" t="s">
        <v>24</v>
      </c>
      <c r="V4" s="4" t="s">
        <v>24</v>
      </c>
      <c r="W4" s="3"/>
      <c r="X4" s="3"/>
      <c r="Y4" s="3"/>
      <c r="Z4" s="3"/>
      <c r="AA4" s="3"/>
      <c r="AB4" s="3"/>
      <c r="AC4" s="3"/>
      <c r="AD4" s="3"/>
      <c r="AE4" s="3"/>
    </row>
    <row r="5">
      <c r="A5" s="4" t="s">
        <v>25</v>
      </c>
      <c r="B5" s="5">
        <v>46226.0</v>
      </c>
      <c r="C5" s="6">
        <v>2984.75</v>
      </c>
      <c r="D5" s="6">
        <v>2621.8</v>
      </c>
      <c r="E5" s="7">
        <f>+362.95</f>
        <v>362.95</v>
      </c>
      <c r="F5" s="7">
        <f>+13.84%</f>
        <v>0.1384</v>
      </c>
      <c r="G5" s="6">
        <v>2410.9</v>
      </c>
      <c r="H5" s="8">
        <v>82.0</v>
      </c>
      <c r="I5" s="8">
        <v>73.0</v>
      </c>
      <c r="J5" s="7">
        <f>+12.33%</f>
        <v>0.1233</v>
      </c>
      <c r="K5" s="8">
        <v>69.0</v>
      </c>
      <c r="L5" s="8">
        <v>191.0</v>
      </c>
      <c r="M5" s="8">
        <v>36.4</v>
      </c>
      <c r="N5" s="4" t="s">
        <v>29</v>
      </c>
      <c r="O5" s="4">
        <v>22.0</v>
      </c>
      <c r="P5" s="4"/>
      <c r="Q5" s="4"/>
      <c r="R5" s="4" t="s">
        <v>24</v>
      </c>
      <c r="S5" s="4"/>
      <c r="T5" s="4"/>
      <c r="U5" s="4" t="s">
        <v>24</v>
      </c>
      <c r="V5" s="4" t="s">
        <v>24</v>
      </c>
      <c r="W5" s="3"/>
      <c r="X5" s="3"/>
      <c r="Y5" s="3"/>
      <c r="Z5" s="3"/>
      <c r="AA5" s="3"/>
      <c r="AB5" s="3"/>
      <c r="AC5" s="3"/>
      <c r="AD5" s="3"/>
      <c r="AE5" s="3"/>
    </row>
    <row r="6">
      <c r="A6" s="4" t="s">
        <v>22</v>
      </c>
      <c r="B6" s="5">
        <v>46226.0</v>
      </c>
      <c r="C6" s="6">
        <v>1864.2</v>
      </c>
      <c r="D6" s="6">
        <v>2140.75</v>
      </c>
      <c r="E6" s="8">
        <v>-276.55</v>
      </c>
      <c r="F6" s="9">
        <v>-0.1292</v>
      </c>
      <c r="G6" s="6">
        <v>1652.1</v>
      </c>
      <c r="H6" s="8">
        <v>56.0</v>
      </c>
      <c r="I6" s="8">
        <v>61.0</v>
      </c>
      <c r="J6" s="9">
        <v>-0.082</v>
      </c>
      <c r="K6" s="8">
        <v>48.0</v>
      </c>
      <c r="L6" s="8">
        <v>129.0</v>
      </c>
      <c r="M6" s="8">
        <v>33.29</v>
      </c>
      <c r="N6" s="4" t="s">
        <v>30</v>
      </c>
      <c r="O6" s="4"/>
      <c r="P6" s="4"/>
      <c r="Q6" s="4"/>
      <c r="R6" s="4" t="s">
        <v>27</v>
      </c>
      <c r="S6" s="4"/>
      <c r="T6" s="4"/>
      <c r="U6" s="4" t="s">
        <v>27</v>
      </c>
      <c r="V6" s="4" t="s">
        <v>27</v>
      </c>
      <c r="W6" s="3"/>
      <c r="X6" s="3"/>
      <c r="Y6" s="3"/>
      <c r="Z6" s="3"/>
      <c r="AA6" s="3"/>
      <c r="AB6" s="3"/>
      <c r="AC6" s="3"/>
      <c r="AD6" s="3"/>
      <c r="AE6" s="3"/>
    </row>
    <row r="7">
      <c r="A7" s="4" t="s">
        <v>22</v>
      </c>
      <c r="B7" s="5">
        <v>46226.0</v>
      </c>
      <c r="C7" s="6">
        <v>4195.6</v>
      </c>
      <c r="D7" s="6">
        <v>4038.5</v>
      </c>
      <c r="E7" s="7">
        <f>+157.1</f>
        <v>157.1</v>
      </c>
      <c r="F7" s="7">
        <f>+3.89%</f>
        <v>0.0389</v>
      </c>
      <c r="G7" s="6">
        <v>3811.3</v>
      </c>
      <c r="H7" s="8">
        <v>118.0</v>
      </c>
      <c r="I7" s="8">
        <v>114.0</v>
      </c>
      <c r="J7" s="7">
        <f>+3.51%</f>
        <v>0.0351</v>
      </c>
      <c r="K7" s="8">
        <v>101.0</v>
      </c>
      <c r="L7" s="8">
        <v>286.0</v>
      </c>
      <c r="M7" s="8">
        <v>35.56</v>
      </c>
      <c r="N7" s="4" t="s">
        <v>31</v>
      </c>
      <c r="O7" s="4">
        <v>111.0</v>
      </c>
      <c r="P7" s="4"/>
      <c r="Q7" s="4"/>
      <c r="R7" s="4" t="s">
        <v>32</v>
      </c>
      <c r="S7" s="4"/>
      <c r="T7" s="4"/>
      <c r="U7" s="4" t="s">
        <v>32</v>
      </c>
      <c r="V7" s="4" t="s">
        <v>32</v>
      </c>
      <c r="W7" s="3"/>
      <c r="X7" s="3"/>
      <c r="Y7" s="3"/>
      <c r="Z7" s="3"/>
      <c r="AA7" s="3"/>
      <c r="AB7" s="3"/>
      <c r="AC7" s="3"/>
      <c r="AD7" s="3"/>
      <c r="AE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10" t="s">
        <v>33</v>
      </c>
      <c r="B13" s="11" t="s">
        <v>34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12" t="s">
        <v>35</v>
      </c>
      <c r="B14" s="13">
        <v>6.0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12" t="s">
        <v>36</v>
      </c>
      <c r="B15" s="13" t="s">
        <v>37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12" t="s">
        <v>38</v>
      </c>
      <c r="B16" s="13" t="s">
        <v>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12" t="s">
        <v>40</v>
      </c>
      <c r="B17" s="14">
        <f>+2.37%</f>
        <v>0.0237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12" t="s">
        <v>41</v>
      </c>
      <c r="B18" s="13">
        <v>629.0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12" t="s">
        <v>8</v>
      </c>
      <c r="B19" s="13">
        <v>613.0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12" t="s">
        <v>42</v>
      </c>
      <c r="B20" s="14">
        <f>+2.61%</f>
        <v>0.0261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12" t="s">
        <v>43</v>
      </c>
      <c r="B21" s="15">
        <v>1543.0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12" t="s">
        <v>44</v>
      </c>
      <c r="B22" s="13" t="s">
        <v>45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12"/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12"/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drawing r:id="rId1"/>
</worksheet>
</file>