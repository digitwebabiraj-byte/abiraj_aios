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1" documentId="11_D665CC248B844D03A85F19765A478DA8A287DB72" xr6:coauthVersionLast="47" xr6:coauthVersionMax="47" xr10:uidLastSave="{7499EA2E-7C74-47D8-A9F1-8D18559CB8CA}"/>
  <bookViews>
    <workbookView xWindow="0" yWindow="0" windowWidth="0" windowHeight="0" xr2:uid="{00000000-000D-0000-FFFF-FFFF00000000}"/>
  </bookViews>
  <sheets>
    <sheet name="Dashboard" sheetId="1" r:id="rId1"/>
    <sheet name="ASIN Merge Task" sheetId="2" r:id="rId2"/>
    <sheet name="Field Reference" sheetId="3" r:id="rId3"/>
  </sheets>
  <definedNames>
    <definedName name="_xlnm._FilterDatabase" localSheetId="1" hidden="1">'ASIN Merge Task'!$A$1:$L$21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J6" i="1"/>
  <c r="G6" i="1"/>
  <c r="D6" i="1"/>
  <c r="A6" i="1"/>
</calcChain>
</file>

<file path=xl/sharedStrings.xml><?xml version="1.0" encoding="utf-8"?>
<sst xmlns="http://schemas.openxmlformats.org/spreadsheetml/2006/main" count="127" uniqueCount="97">
  <si>
    <t>ASIN RATING ANALYSIS &amp; VARIATION MERGING</t>
  </si>
  <si>
    <t>Amazon UK Automation Dashboard | Example data – replace with actual automation output</t>
  </si>
  <si>
    <t>TOTAL ASINs</t>
  </si>
  <si>
    <t>NO-REVIEW / LOW-RATED</t>
  </si>
  <si>
    <t>APPROVED</t>
  </si>
  <si>
    <t>REJECTED / REVIEW</t>
  </si>
  <si>
    <t>MERGE STATUS OVERVIEW</t>
  </si>
  <si>
    <t>BUSINESS / TECHNICAL SUMMARY</t>
  </si>
  <si>
    <t>STATUS</t>
  </si>
  <si>
    <t>COUNT</t>
  </si>
  <si>
    <t>AREA</t>
  </si>
  <si>
    <t>DETAIL</t>
  </si>
  <si>
    <t>Approved</t>
  </si>
  <si>
    <t>Automation Objective</t>
  </si>
  <si>
    <t>Identify low/no-rating ASINs and recommend stronger variation parents.</t>
  </si>
  <si>
    <t>Rejected / Review</t>
  </si>
  <si>
    <t>Approval Control</t>
  </si>
  <si>
    <t>No merge executes without PH/operator approval.</t>
  </si>
  <si>
    <t>Duplicate Warnings</t>
  </si>
  <si>
    <t>Key Validation</t>
  </si>
  <si>
    <t>Duplicate variation attributes must be checked before merging.</t>
  </si>
  <si>
    <t>Out of Stock</t>
  </si>
  <si>
    <t>Execution</t>
  </si>
  <si>
    <t>Approved merges use the required Amazon Seller Central flat-file process.</t>
  </si>
  <si>
    <t>Open Dependency</t>
  </si>
  <si>
    <t>PH team input is required for template, sample file and variation fields.</t>
  </si>
  <si>
    <t>EXPECTED BUSINESS VALUE / ROI</t>
  </si>
  <si>
    <t>• Reduce manual ASIN rating and variation analysis time.</t>
  </si>
  <si>
    <t>• Consolidate customer reviews across eligible variations.</t>
  </si>
  <si>
    <t>• Improve listing credibility where stronger review history is shared.</t>
  </si>
  <si>
    <t>• Reduce manual errors through systematic parent selection and duplicate checks.</t>
  </si>
  <si>
    <t>• Create measurable automation outputs and execution logs for follow-up.</t>
  </si>
  <si>
    <t>PLATFORM</t>
  </si>
  <si>
    <t>ACCOUNT</t>
  </si>
  <si>
    <t>BASE SKU</t>
  </si>
  <si>
    <t>PARENT ASIN</t>
  </si>
  <si>
    <t>PARENT RATING / REVIEWS</t>
  </si>
  <si>
    <t>CHILD ASIN / SKU</t>
  </si>
  <si>
    <t>CHILD COLOUR / RATING</t>
  </si>
  <si>
    <t>MERGE REASON</t>
  </si>
  <si>
    <t>STOCK STATUS</t>
  </si>
  <si>
    <t>DUPLICATE WARNING</t>
  </si>
  <si>
    <t>APPROVED (Y/N)</t>
  </si>
  <si>
    <t>OPERATOR NOTES</t>
  </si>
  <si>
    <t>AMAZON</t>
  </si>
  <si>
    <t>PH / Product Team</t>
  </si>
  <si>
    <t>CRSF120</t>
  </si>
  <si>
    <t>B0PARENT01</t>
  </si>
  <si>
    <t>4.6 / 128</t>
  </si>
  <si>
    <t>B0CHILD01 / CRSF120BK</t>
  </si>
  <si>
    <t>Black / 0.0</t>
  </si>
  <si>
    <t>No reviews – merge into stronger parent</t>
  </si>
  <si>
    <t>In Stock</t>
  </si>
  <si>
    <t>No</t>
  </si>
  <si>
    <t>Y</t>
  </si>
  <si>
    <t>Example: approved after manual Seller Central review.</t>
  </si>
  <si>
    <t>B0CHILD02 / CRSF120WH</t>
  </si>
  <si>
    <t>White / 2.9</t>
  </si>
  <si>
    <t>Low rating – merge into higher-rated parent</t>
  </si>
  <si>
    <t>Example: colour is unique under selected parent.</t>
  </si>
  <si>
    <t>B0CHILD03 / CRSF120YB</t>
  </si>
  <si>
    <t>Yellow Brass / 0.0</t>
  </si>
  <si>
    <t>N</t>
  </si>
  <si>
    <t>Example: operator rejected because stock is currently unavailable.</t>
  </si>
  <si>
    <t>CRSF150</t>
  </si>
  <si>
    <t>B0PARENT02</t>
  </si>
  <si>
    <t>4.4 / 96</t>
  </si>
  <si>
    <t>B0CHILD04 / CRSF150BK</t>
  </si>
  <si>
    <t>Black / 1.8</t>
  </si>
  <si>
    <t>Yes</t>
  </si>
  <si>
    <t>Example: duplicate colour already exists under parent; merge skipped.</t>
  </si>
  <si>
    <t>B0CHILD05 / CRSF150CH</t>
  </si>
  <si>
    <t>Chrome / 0.0</t>
  </si>
  <si>
    <t>Example: unique variation and suitable parent identified.</t>
  </si>
  <si>
    <t>EXAMPLE DATA ONLY – ASINs, ratings and SKUs above are illustrative and should be replaced with actual automation output.</t>
  </si>
  <si>
    <t>FIELD</t>
  </si>
  <si>
    <t>PURPOSE</t>
  </si>
  <si>
    <t>Base SKU</t>
  </si>
  <si>
    <t>Product family identifier.</t>
  </si>
  <si>
    <t>Parent ASIN</t>
  </si>
  <si>
    <t>Selected parent variation ASIN.</t>
  </si>
  <si>
    <t>Parent Rating / Reviews</t>
  </si>
  <si>
    <t>Parent star rating and review count.</t>
  </si>
  <si>
    <t>Child ASIN / SKU</t>
  </si>
  <si>
    <t>ASIN to merge as child and its SKU.</t>
  </si>
  <si>
    <t>Child Colour / Rating</t>
  </si>
  <si>
    <t>Child variation colour and current rating.</t>
  </si>
  <si>
    <t>Merge Reason</t>
  </si>
  <si>
    <t>Reason for merging, such as no reviews or low rating.</t>
  </si>
  <si>
    <t>Stock Status</t>
  </si>
  <si>
    <t>In Stock / Out of Stock.</t>
  </si>
  <si>
    <t>Duplicate Warning</t>
  </si>
  <si>
    <t>Yes/No – whether the colour/variation is duplicated.</t>
  </si>
  <si>
    <t>Approved (Y/N)</t>
  </si>
  <si>
    <t>Operator approval decision.</t>
  </si>
  <si>
    <t>Operator Notes</t>
  </si>
  <si>
    <t>Space for operator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</si>
</sst>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2937"/>
      <name val="Calibri"/>
    </font>
    <font>
      <b/>
      <i/>
      <sz val="11"/>
      <color rgb="FFC00000"/>
      <name val="Calibri"/>
    </font>
    <font>
      <b/>
      <sz val="20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b/>
      <sz val="12"/>
      <color rgb="FFFFFFFF"/>
      <name val="Calibri"/>
    </font>
    <font>
      <b/>
      <sz val="11"/>
      <color rgb="FF1F2937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  <border>
      <left/>
      <right/>
      <top/>
      <bottom style="thin">
        <color rgb="FFD5DCE5"/>
      </bottom>
      <diagonal/>
    </border>
    <border>
      <left/>
      <right/>
      <top style="thin">
        <color rgb="FFD5DCE5"/>
      </top>
      <bottom style="thin">
        <color rgb="FFD5DCE5"/>
      </bottom>
      <diagonal/>
    </border>
    <border>
      <left/>
      <right style="thin">
        <color rgb="FFD5DCE5"/>
      </right>
      <top style="thin">
        <color rgb="FFD5DCE5"/>
      </top>
      <bottom style="thin">
        <color rgb="FFD5DCE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9" fillId="8" borderId="0" xfId="0" applyFont="1" applyFill="1" applyAlignment="1">
      <alignment horizontal="center"/>
    </xf>
    <xf numFmtId="0" fontId="0" fillId="0" borderId="2" xfId="0" applyBorder="1" applyAlignment="1">
      <alignment vertical="center"/>
    </xf>
    <xf numFmtId="0" fontId="9" fillId="0" borderId="2" xfId="0" applyFont="1" applyBorder="1" applyAlignment="1">
      <alignment vertical="top" wrapText="1"/>
    </xf>
    <xf numFmtId="0" fontId="9" fillId="8" borderId="0" xfId="0" applyFont="1" applyFill="1" applyAlignment="1">
      <alignment horizontal="center"/>
    </xf>
    <xf numFmtId="0" fontId="0" fillId="9" borderId="0" xfId="0" applyFill="1" applyAlignment="1">
      <alignment vertical="center" wrapText="1"/>
    </xf>
    <xf numFmtId="0" fontId="5" fillId="0" borderId="0" xfId="0" applyFont="1" applyAlignment="1">
      <alignment horizontal="left"/>
    </xf>
    <xf numFmtId="0" fontId="7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7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0" borderId="2" xfId="0" applyBorder="1" applyAlignment="1">
      <alignment vertical="top" wrapText="1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tabSelected="1" workbookViewId="0"/>
  </sheetViews>
  <sheetFormatPr defaultRowHeight="15"/>
  <cols>
    <col min="1" max="6" width="15" customWidth="1"/>
    <col min="7" max="7" width="20" customWidth="1"/>
    <col min="8" max="12" width="15" customWidth="1"/>
  </cols>
  <sheetData>
    <row r="1" spans="1:12" ht="27.95" customHeight="1">
      <c r="A1" s="1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7.9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>
      <c r="A3" s="11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5" spans="1:12" ht="27.95" customHeight="1">
      <c r="A5" s="13" t="s">
        <v>2</v>
      </c>
      <c r="B5" s="24"/>
      <c r="C5" s="24"/>
      <c r="D5" s="20" t="s">
        <v>3</v>
      </c>
      <c r="E5" s="24"/>
      <c r="F5" s="24"/>
      <c r="G5" s="14" t="s">
        <v>4</v>
      </c>
      <c r="H5" s="24"/>
      <c r="I5" s="24"/>
      <c r="J5" s="21" t="s">
        <v>5</v>
      </c>
      <c r="K5" s="24"/>
      <c r="L5" s="24"/>
    </row>
    <row r="6" spans="1:12" ht="27.95" customHeight="1">
      <c r="A6" s="17">
        <f>COUNTA('ASIN Merge Task'!F2:F21)</f>
        <v>5</v>
      </c>
      <c r="B6" s="24"/>
      <c r="C6" s="24"/>
      <c r="D6" s="12">
        <f>COUNTIF('ASIN Merge Task'!H2:H21,"*No reviews*")+COUNTIF('ASIN Merge Task'!H2:H21,"*Low rating*")</f>
        <v>5</v>
      </c>
      <c r="E6" s="24"/>
      <c r="F6" s="24"/>
      <c r="G6" s="22">
        <f>COUNTIF('ASIN Merge Task'!K2:K21,"Y")</f>
        <v>3</v>
      </c>
      <c r="H6" s="24"/>
      <c r="I6" s="24"/>
      <c r="J6" s="18">
        <f>COUNTIF('ASIN Merge Task'!K2:K21,"N")</f>
        <v>2</v>
      </c>
      <c r="K6" s="24"/>
      <c r="L6" s="24"/>
    </row>
    <row r="7" spans="1:12" ht="27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9" spans="1:12">
      <c r="A9" s="16" t="s">
        <v>6</v>
      </c>
      <c r="B9" s="24"/>
      <c r="C9" s="24"/>
      <c r="D9" s="24"/>
      <c r="E9" s="24"/>
      <c r="F9" s="24"/>
      <c r="G9" s="16" t="s">
        <v>7</v>
      </c>
      <c r="H9" s="24"/>
      <c r="I9" s="24"/>
      <c r="J9" s="24"/>
      <c r="K9" s="24"/>
      <c r="L9" s="24"/>
    </row>
    <row r="10" spans="1:12">
      <c r="A10" s="6" t="s">
        <v>8</v>
      </c>
      <c r="B10" s="6" t="s">
        <v>9</v>
      </c>
      <c r="G10" s="6" t="s">
        <v>10</v>
      </c>
      <c r="H10" s="9" t="s">
        <v>11</v>
      </c>
      <c r="I10" s="24"/>
      <c r="J10" s="24"/>
      <c r="K10" s="24"/>
      <c r="L10" s="24"/>
    </row>
    <row r="11" spans="1:12" ht="33.950000000000003" customHeight="1">
      <c r="A11" s="7" t="s">
        <v>12</v>
      </c>
      <c r="B11" s="7">
        <f>COUNTIF('ASIN Merge Task'!K2:K21,"Y")</f>
        <v>3</v>
      </c>
      <c r="G11" s="8" t="s">
        <v>13</v>
      </c>
      <c r="H11" s="19" t="s">
        <v>14</v>
      </c>
      <c r="I11" s="19"/>
      <c r="J11" s="19"/>
      <c r="K11" s="19"/>
      <c r="L11" s="19"/>
    </row>
    <row r="12" spans="1:12" ht="33.950000000000003" customHeight="1">
      <c r="A12" s="7" t="s">
        <v>15</v>
      </c>
      <c r="B12" s="7">
        <f>COUNTIF('ASIN Merge Task'!K2:K21,"N")</f>
        <v>2</v>
      </c>
      <c r="G12" s="8" t="s">
        <v>16</v>
      </c>
      <c r="H12" s="19" t="s">
        <v>17</v>
      </c>
      <c r="I12" s="19"/>
      <c r="J12" s="19"/>
      <c r="K12" s="19"/>
      <c r="L12" s="19"/>
    </row>
    <row r="13" spans="1:12" ht="33.950000000000003" customHeight="1">
      <c r="A13" s="7" t="s">
        <v>18</v>
      </c>
      <c r="B13" s="7">
        <f>COUNTIF('ASIN Merge Task'!J2:J21,"Yes")</f>
        <v>1</v>
      </c>
      <c r="G13" s="8" t="s">
        <v>19</v>
      </c>
      <c r="H13" s="19" t="s">
        <v>20</v>
      </c>
      <c r="I13" s="19"/>
      <c r="J13" s="19"/>
      <c r="K13" s="19"/>
      <c r="L13" s="19"/>
    </row>
    <row r="14" spans="1:12" ht="33.950000000000003" customHeight="1">
      <c r="A14" s="7" t="s">
        <v>21</v>
      </c>
      <c r="B14" s="7">
        <f>COUNTIF('ASIN Merge Task'!I2:I21,"Out of Stock")</f>
        <v>1</v>
      </c>
      <c r="G14" s="8" t="s">
        <v>22</v>
      </c>
      <c r="H14" s="19" t="s">
        <v>23</v>
      </c>
      <c r="I14" s="19"/>
      <c r="J14" s="19"/>
      <c r="K14" s="19"/>
      <c r="L14" s="19"/>
    </row>
    <row r="15" spans="1:12" ht="33.950000000000003" customHeight="1">
      <c r="G15" s="8" t="s">
        <v>24</v>
      </c>
      <c r="H15" s="19" t="s">
        <v>25</v>
      </c>
      <c r="I15" s="19"/>
      <c r="J15" s="19"/>
      <c r="K15" s="19"/>
      <c r="L15" s="19"/>
    </row>
    <row r="17" spans="1:12">
      <c r="A17" s="16" t="s">
        <v>26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1:12" ht="27.95" customHeight="1">
      <c r="A18" s="10" t="s">
        <v>27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2" ht="27.95" customHeight="1">
      <c r="A19" s="10" t="s">
        <v>28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2" ht="27.95" customHeight="1">
      <c r="A20" s="10" t="s">
        <v>29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1:12" ht="27.95" customHeight="1">
      <c r="A21" s="10" t="s">
        <v>30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1:12" ht="27.95" customHeight="1">
      <c r="A22" s="10" t="s">
        <v>31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</sheetData>
  <mergeCells count="24">
    <mergeCell ref="A1:L2"/>
    <mergeCell ref="A22:L22"/>
    <mergeCell ref="A17:L17"/>
    <mergeCell ref="A20:L20"/>
    <mergeCell ref="A6:C7"/>
    <mergeCell ref="J6:L7"/>
    <mergeCell ref="H11:L11"/>
    <mergeCell ref="D5:F5"/>
    <mergeCell ref="A19:L19"/>
    <mergeCell ref="A9:F9"/>
    <mergeCell ref="G9:L9"/>
    <mergeCell ref="H13:L13"/>
    <mergeCell ref="J5:L5"/>
    <mergeCell ref="G6:I7"/>
    <mergeCell ref="H12:L12"/>
    <mergeCell ref="H15:L15"/>
    <mergeCell ref="H10:L10"/>
    <mergeCell ref="A18:L18"/>
    <mergeCell ref="A3:L3"/>
    <mergeCell ref="A21:L21"/>
    <mergeCell ref="D6:F7"/>
    <mergeCell ref="A5:C5"/>
    <mergeCell ref="G5:I5"/>
    <mergeCell ref="H14:L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8" customWidth="1"/>
    <col min="3" max="3" width="16" customWidth="1"/>
    <col min="4" max="4" width="18" customWidth="1"/>
    <col min="5" max="5" width="25" customWidth="1"/>
    <col min="6" max="6" width="24" customWidth="1"/>
    <col min="7" max="7" width="26" customWidth="1"/>
    <col min="8" max="8" width="25" customWidth="1"/>
    <col min="9" max="9" width="18" customWidth="1"/>
    <col min="10" max="10" width="22" customWidth="1"/>
    <col min="11" max="11" width="17" customWidth="1"/>
    <col min="12" max="12" width="38" customWidth="1"/>
  </cols>
  <sheetData>
    <row r="1" spans="1:12" ht="42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ht="48" customHeight="1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</row>
    <row r="3" spans="1:12" ht="48" customHeight="1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56</v>
      </c>
      <c r="G3" s="3" t="s">
        <v>57</v>
      </c>
      <c r="H3" s="3" t="s">
        <v>58</v>
      </c>
      <c r="I3" s="3" t="s">
        <v>52</v>
      </c>
      <c r="J3" s="3" t="s">
        <v>53</v>
      </c>
      <c r="K3" s="3" t="s">
        <v>54</v>
      </c>
      <c r="L3" s="3" t="s">
        <v>59</v>
      </c>
    </row>
    <row r="4" spans="1:12" ht="48" customHeight="1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60</v>
      </c>
      <c r="G4" s="2" t="s">
        <v>61</v>
      </c>
      <c r="H4" s="2" t="s">
        <v>51</v>
      </c>
      <c r="I4" s="2" t="s">
        <v>21</v>
      </c>
      <c r="J4" s="2" t="s">
        <v>53</v>
      </c>
      <c r="K4" s="2" t="s">
        <v>62</v>
      </c>
      <c r="L4" s="2" t="s">
        <v>63</v>
      </c>
    </row>
    <row r="5" spans="1:12" ht="48" customHeight="1">
      <c r="A5" s="3" t="s">
        <v>44</v>
      </c>
      <c r="B5" s="3" t="s">
        <v>45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58</v>
      </c>
      <c r="I5" s="3" t="s">
        <v>52</v>
      </c>
      <c r="J5" s="3" t="s">
        <v>69</v>
      </c>
      <c r="K5" s="3" t="s">
        <v>62</v>
      </c>
      <c r="L5" s="3" t="s">
        <v>70</v>
      </c>
    </row>
    <row r="6" spans="1:12" ht="48" customHeight="1">
      <c r="A6" s="2" t="s">
        <v>44</v>
      </c>
      <c r="B6" s="2" t="s">
        <v>45</v>
      </c>
      <c r="C6" s="2" t="s">
        <v>64</v>
      </c>
      <c r="D6" s="2" t="s">
        <v>65</v>
      </c>
      <c r="E6" s="2" t="s">
        <v>66</v>
      </c>
      <c r="F6" s="2" t="s">
        <v>71</v>
      </c>
      <c r="G6" s="2" t="s">
        <v>72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73</v>
      </c>
    </row>
    <row r="7" spans="1:12" ht="27.9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7.95" customHeight="1">
      <c r="A8" s="23" t="s">
        <v>74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</row>
    <row r="9" spans="1:12" ht="27.9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27.9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7.9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7.9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7.9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7.9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7.9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7.9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7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7.9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7.9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27.9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.9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</sheetData>
  <autoFilter ref="A1:L21" xr:uid="{00000000-0009-0000-0000-000001000000}"/>
  <mergeCells count="1">
    <mergeCell ref="A8:L8"/>
  </mergeCells>
  <conditionalFormatting sqref="K2:K21">
    <cfRule type="cellIs" dxfId="2" priority="1" operator="equal">
      <formula>"Y"</formula>
    </cfRule>
    <cfRule type="cellIs" dxfId="1" priority="2" operator="equal">
      <formula>"N"</formula>
    </cfRule>
  </conditionalFormatting>
  <conditionalFormatting sqref="J2:J21">
    <cfRule type="cellIs" dxfId="0" priority="3" operator="equal">
      <formula>"Yes"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/>
  <cols>
    <col min="1" max="1" width="30" customWidth="1"/>
    <col min="2" max="2" width="80" customWidth="1"/>
  </cols>
  <sheetData>
    <row r="1" spans="1:2">
      <c r="A1" s="4" t="s">
        <v>75</v>
      </c>
      <c r="B1" s="4" t="s">
        <v>76</v>
      </c>
    </row>
    <row r="2" spans="1:2">
      <c r="A2" s="5" t="s">
        <v>77</v>
      </c>
      <c r="B2" s="5" t="s">
        <v>78</v>
      </c>
    </row>
    <row r="3" spans="1:2">
      <c r="A3" s="5" t="s">
        <v>79</v>
      </c>
      <c r="B3" s="5" t="s">
        <v>80</v>
      </c>
    </row>
    <row r="4" spans="1:2">
      <c r="A4" s="5" t="s">
        <v>81</v>
      </c>
      <c r="B4" s="5" t="s">
        <v>82</v>
      </c>
    </row>
    <row r="5" spans="1:2">
      <c r="A5" s="5" t="s">
        <v>83</v>
      </c>
      <c r="B5" s="5" t="s">
        <v>84</v>
      </c>
    </row>
    <row r="6" spans="1:2">
      <c r="A6" s="5" t="s">
        <v>85</v>
      </c>
      <c r="B6" s="5" t="s">
        <v>86</v>
      </c>
    </row>
    <row r="7" spans="1:2">
      <c r="A7" s="5" t="s">
        <v>87</v>
      </c>
      <c r="B7" s="5" t="s">
        <v>88</v>
      </c>
    </row>
    <row r="8" spans="1:2">
      <c r="A8" s="5" t="s">
        <v>89</v>
      </c>
      <c r="B8" s="5" t="s">
        <v>90</v>
      </c>
    </row>
    <row r="9" spans="1:2">
      <c r="A9" s="5" t="s">
        <v>91</v>
      </c>
      <c r="B9" s="5" t="s">
        <v>92</v>
      </c>
    </row>
    <row r="10" spans="1:2">
      <c r="A10" s="5" t="s">
        <v>93</v>
      </c>
      <c r="B10" s="5" t="s">
        <v>94</v>
      </c>
    </row>
    <row r="11" spans="1:2">
      <c r="A11" s="5" t="s">
        <v>95</v>
      </c>
      <c r="B11" s="5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2026-08-17T06:00:48Z</dcterms:created>
  <dcterms:modified xsi:type="dcterms:W3CDTF">2026-08-17T06:15:38Z</dcterms:modified>
  <cp:category/>
  <cp:contentStatus/>
</cp:coreProperties>
</file>