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checker " sheetId="1" r:id="rId5"/>
  </sheets>
  <definedNames/>
  <calcPr/>
</workbook>
</file>

<file path=xl/sharedStrings.xml><?xml version="1.0" encoding="utf-8"?>
<sst xmlns="http://schemas.openxmlformats.org/spreadsheetml/2006/main" count="93" uniqueCount="76">
  <si>
    <t>ID</t>
  </si>
  <si>
    <t>SKU</t>
  </si>
  <si>
    <t>Product Image</t>
  </si>
  <si>
    <t>Account</t>
  </si>
  <si>
    <t xml:space="preserve">Website Price </t>
  </si>
  <si>
    <t xml:space="preserve">Amazon Price </t>
  </si>
  <si>
    <t xml:space="preserve">Target eBay Price </t>
  </si>
  <si>
    <t xml:space="preserve">Current eBay Price </t>
  </si>
  <si>
    <t xml:space="preserve">Difference </t>
  </si>
  <si>
    <t>Difference (%)</t>
  </si>
  <si>
    <t>Status</t>
  </si>
  <si>
    <t>Priority</t>
  </si>
  <si>
    <t>Action</t>
  </si>
  <si>
    <t>LED001</t>
  </si>
  <si>
    <t>image1.jpg</t>
  </si>
  <si>
    <t>LEDSONE UK</t>
  </si>
  <si>
    <t>✅ Normal</t>
  </si>
  <si>
    <t>Low</t>
  </si>
  <si>
    <t>No Action Required</t>
  </si>
  <si>
    <t>LED002</t>
  </si>
  <si>
    <t>image2.jpg</t>
  </si>
  <si>
    <t>LEDSONE UK REG DE</t>
  </si>
  <si>
    <t>🔴 Low Price</t>
  </si>
  <si>
    <t>High</t>
  </si>
  <si>
    <t>Increase eBay Price</t>
  </si>
  <si>
    <t>LED003</t>
  </si>
  <si>
    <t>image3.jpg</t>
  </si>
  <si>
    <t>SUNSONE UK</t>
  </si>
  <si>
    <t>LED004</t>
  </si>
  <si>
    <t>image4.jpg</t>
  </si>
  <si>
    <t>ELECTRICALSONE</t>
  </si>
  <si>
    <t>🔴 High Price</t>
  </si>
  <si>
    <t>Reduce eBay Price</t>
  </si>
  <si>
    <t>265660307012)</t>
  </si>
  <si>
    <t>LED005</t>
  </si>
  <si>
    <t>image5.jpg</t>
  </si>
  <si>
    <t>HOMIN</t>
  </si>
  <si>
    <t>LED006</t>
  </si>
  <si>
    <t>image6.jpg</t>
  </si>
  <si>
    <t>LEDSONE DE</t>
  </si>
  <si>
    <t>LED007</t>
  </si>
  <si>
    <t>image7.jpg</t>
  </si>
  <si>
    <t>SUNSONE DE</t>
  </si>
  <si>
    <t>Column</t>
  </si>
  <si>
    <t>Description</t>
  </si>
  <si>
    <t>Status Rules</t>
  </si>
  <si>
    <t>Low Price Alert</t>
  </si>
  <si>
    <t>Website Price</t>
  </si>
  <si>
    <t>Current live price from your website</t>
  </si>
  <si>
    <t>eBay = Website +10%</t>
  </si>
  <si>
    <t>Trigger when:</t>
  </si>
  <si>
    <t>eBay price is lower than the minimum acceptable range.</t>
  </si>
  <si>
    <t>eBay Price</t>
  </si>
  <si>
    <t>Current live eBay listing price</t>
  </si>
  <si>
    <t>eBay = Amazon -10%</t>
  </si>
  <si>
    <t>Profit may be reduced.</t>
  </si>
  <si>
    <t>Amazon Price</t>
  </si>
  <si>
    <t>Current live Amazon listing price</t>
  </si>
  <si>
    <t xml:space="preserve">Action: Increase eBay Price.	</t>
  </si>
  <si>
    <t>Website Difference</t>
  </si>
  <si>
    <t>eBay Price − (Website Price × 1.10)</t>
  </si>
  <si>
    <t>Amazon Difference</t>
  </si>
  <si>
    <t>eBay Price − (Amazon Price × 0.90)</t>
  </si>
  <si>
    <t>High Price Alert</t>
  </si>
  <si>
    <t>Allowed Tolerance</t>
  </si>
  <si>
    <t>£0.50 (&lt;£15) or £1.00 (≥£15)</t>
  </si>
  <si>
    <t>eBay price is higher than the maximum acceptable range.</t>
  </si>
  <si>
    <t>Normal / Low Price / High Price</t>
  </si>
  <si>
    <t>Allowed Difference</t>
  </si>
  <si>
    <t>Listing may become less competitive.</t>
  </si>
  <si>
    <t>AI recommendation</t>
  </si>
  <si>
    <t>Below £20</t>
  </si>
  <si>
    <t>± £0.50</t>
  </si>
  <si>
    <t>Action: Reduce eBay Price.</t>
  </si>
  <si>
    <t>£20 and Above</t>
  </si>
  <si>
    <t>± £1.00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</si>
</sst>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FFFFFF"/>
      <name val="Calibri"/>
    </font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10" xfId="0" applyAlignment="1" applyFont="1" applyNumberFormat="1">
      <alignment horizontal="right" readingOrder="0"/>
    </xf>
    <xf borderId="0" fillId="3" fontId="4" numFmtId="0" xfId="0" applyAlignment="1" applyFill="1" applyFont="1">
      <alignment horizontal="left"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3.06695180879E11</v>
      </c>
      <c r="B2" s="5" t="s">
        <v>13</v>
      </c>
      <c r="C2" s="5" t="s">
        <v>14</v>
      </c>
      <c r="D2" s="5" t="s">
        <v>15</v>
      </c>
      <c r="E2" s="4">
        <v>9.99</v>
      </c>
      <c r="F2" s="4">
        <v>12.99</v>
      </c>
      <c r="G2" s="4">
        <v>10.99</v>
      </c>
      <c r="H2" s="4">
        <v>11.2</v>
      </c>
      <c r="I2" s="6">
        <f>+0.21</f>
        <v>0.21</v>
      </c>
      <c r="J2" s="6">
        <f>+1.91%</f>
        <v>0.0191</v>
      </c>
      <c r="K2" s="5" t="s">
        <v>16</v>
      </c>
      <c r="L2" s="5" t="s">
        <v>17</v>
      </c>
      <c r="M2" s="5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>
        <v>3.04963286889E11</v>
      </c>
      <c r="B3" s="5" t="s">
        <v>19</v>
      </c>
      <c r="C3" s="5" t="s">
        <v>20</v>
      </c>
      <c r="D3" s="5" t="s">
        <v>21</v>
      </c>
      <c r="E3" s="4">
        <v>8.5</v>
      </c>
      <c r="F3" s="4">
        <v>11.2</v>
      </c>
      <c r="G3" s="4">
        <v>9.35</v>
      </c>
      <c r="H3" s="4">
        <v>8.6</v>
      </c>
      <c r="I3" s="4">
        <v>-0.75</v>
      </c>
      <c r="J3" s="8">
        <v>-0.0802</v>
      </c>
      <c r="K3" s="5" t="s">
        <v>22</v>
      </c>
      <c r="L3" s="5" t="s">
        <v>23</v>
      </c>
      <c r="M3" s="5" t="s">
        <v>24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>
        <v>3.06905765182E11</v>
      </c>
      <c r="B4" s="5" t="s">
        <v>25</v>
      </c>
      <c r="C4" s="5" t="s">
        <v>26</v>
      </c>
      <c r="D4" s="5" t="s">
        <v>27</v>
      </c>
      <c r="E4" s="4">
        <v>12.99</v>
      </c>
      <c r="F4" s="4">
        <v>16.5</v>
      </c>
      <c r="G4" s="4">
        <v>14.29</v>
      </c>
      <c r="H4" s="4">
        <v>14.6</v>
      </c>
      <c r="I4" s="6">
        <f>+0.31</f>
        <v>0.31</v>
      </c>
      <c r="J4" s="6">
        <f>+2.17%</f>
        <v>0.0217</v>
      </c>
      <c r="K4" s="5" t="s">
        <v>16</v>
      </c>
      <c r="L4" s="5" t="s">
        <v>17</v>
      </c>
      <c r="M4" s="5" t="s">
        <v>18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4">
        <v>3.05715611096E11</v>
      </c>
      <c r="B5" s="5" t="s">
        <v>28</v>
      </c>
      <c r="C5" s="5" t="s">
        <v>29</v>
      </c>
      <c r="D5" s="5" t="s">
        <v>30</v>
      </c>
      <c r="E5" s="4">
        <v>14.5</v>
      </c>
      <c r="F5" s="4">
        <v>18.5</v>
      </c>
      <c r="G5" s="4">
        <v>15.95</v>
      </c>
      <c r="H5" s="4">
        <v>17.3</v>
      </c>
      <c r="I5" s="6">
        <f>+1.35</f>
        <v>1.35</v>
      </c>
      <c r="J5" s="6">
        <f>+8.46%</f>
        <v>0.0846</v>
      </c>
      <c r="K5" s="5" t="s">
        <v>31</v>
      </c>
      <c r="L5" s="5" t="s">
        <v>23</v>
      </c>
      <c r="M5" s="5" t="s">
        <v>32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 t="s">
        <v>33</v>
      </c>
      <c r="B6" s="5" t="s">
        <v>34</v>
      </c>
      <c r="C6" s="5" t="s">
        <v>35</v>
      </c>
      <c r="D6" s="5" t="s">
        <v>36</v>
      </c>
      <c r="E6" s="4">
        <v>18.99</v>
      </c>
      <c r="F6" s="4">
        <v>23.5</v>
      </c>
      <c r="G6" s="4">
        <v>20.89</v>
      </c>
      <c r="H6" s="4">
        <v>20.6</v>
      </c>
      <c r="I6" s="4">
        <v>-0.29</v>
      </c>
      <c r="J6" s="8">
        <v>-0.0139</v>
      </c>
      <c r="K6" s="5" t="s">
        <v>16</v>
      </c>
      <c r="L6" s="5" t="s">
        <v>17</v>
      </c>
      <c r="M6" s="5" t="s">
        <v>18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4">
        <v>2.67697027029E11</v>
      </c>
      <c r="B7" s="5" t="s">
        <v>37</v>
      </c>
      <c r="C7" s="5" t="s">
        <v>38</v>
      </c>
      <c r="D7" s="5" t="s">
        <v>39</v>
      </c>
      <c r="E7" s="4">
        <v>21.5</v>
      </c>
      <c r="F7" s="4">
        <v>27.99</v>
      </c>
      <c r="G7" s="4">
        <v>23.65</v>
      </c>
      <c r="H7" s="4">
        <v>25.1</v>
      </c>
      <c r="I7" s="6">
        <f>+1.45</f>
        <v>1.45</v>
      </c>
      <c r="J7" s="6">
        <f>+6.13%</f>
        <v>0.0613</v>
      </c>
      <c r="K7" s="5" t="s">
        <v>31</v>
      </c>
      <c r="L7" s="5" t="s">
        <v>23</v>
      </c>
      <c r="M7" s="5" t="s">
        <v>32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4">
        <v>2.67668468006E11</v>
      </c>
      <c r="B8" s="5" t="s">
        <v>40</v>
      </c>
      <c r="C8" s="5" t="s">
        <v>41</v>
      </c>
      <c r="D8" s="5" t="s">
        <v>42</v>
      </c>
      <c r="E8" s="4">
        <v>24.99</v>
      </c>
      <c r="F8" s="4">
        <v>31.5</v>
      </c>
      <c r="G8" s="4">
        <v>27.49</v>
      </c>
      <c r="H8" s="4">
        <v>26.9</v>
      </c>
      <c r="I8" s="4">
        <v>-0.59</v>
      </c>
      <c r="J8" s="8">
        <v>-0.0215</v>
      </c>
      <c r="K8" s="5" t="s">
        <v>16</v>
      </c>
      <c r="L8" s="5" t="s">
        <v>17</v>
      </c>
      <c r="M8" s="5" t="s">
        <v>18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" t="s">
        <v>43</v>
      </c>
      <c r="B18" s="1" t="s">
        <v>44</v>
      </c>
      <c r="C18" s="7"/>
      <c r="D18" s="7"/>
      <c r="E18" s="7"/>
      <c r="F18" s="7"/>
      <c r="G18" s="1" t="s">
        <v>45</v>
      </c>
      <c r="H18" s="7"/>
      <c r="I18" s="1" t="s">
        <v>46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9" t="s">
        <v>47</v>
      </c>
      <c r="B19" s="9" t="s">
        <v>48</v>
      </c>
      <c r="C19" s="7"/>
      <c r="D19" s="7"/>
      <c r="E19" s="7"/>
      <c r="F19" s="7"/>
      <c r="G19" s="9" t="s">
        <v>49</v>
      </c>
      <c r="H19" s="7"/>
      <c r="I19" s="10" t="s">
        <v>50</v>
      </c>
      <c r="J19" s="11" t="s">
        <v>51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9" t="s">
        <v>52</v>
      </c>
      <c r="B20" s="9" t="s">
        <v>53</v>
      </c>
      <c r="C20" s="7"/>
      <c r="D20" s="7"/>
      <c r="E20" s="7"/>
      <c r="F20" s="7"/>
      <c r="G20" s="9" t="s">
        <v>54</v>
      </c>
      <c r="H20" s="7"/>
      <c r="I20" s="12"/>
      <c r="J20" s="11" t="s">
        <v>55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9" t="s">
        <v>56</v>
      </c>
      <c r="B21" s="9" t="s">
        <v>57</v>
      </c>
      <c r="C21" s="7"/>
      <c r="D21" s="7"/>
      <c r="E21" s="7"/>
      <c r="F21" s="7"/>
      <c r="G21" s="7"/>
      <c r="H21" s="7"/>
      <c r="I21" s="12"/>
      <c r="J21" s="11" t="s">
        <v>58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9" t="s">
        <v>59</v>
      </c>
      <c r="B22" s="9" t="s">
        <v>60</v>
      </c>
      <c r="C22" s="7"/>
      <c r="D22" s="7"/>
      <c r="E22" s="7"/>
      <c r="F22" s="7"/>
      <c r="G22" s="7"/>
      <c r="H22" s="7"/>
      <c r="I22" s="12"/>
      <c r="J22" s="1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9" t="s">
        <v>61</v>
      </c>
      <c r="B23" s="9" t="s">
        <v>62</v>
      </c>
      <c r="C23" s="7"/>
      <c r="D23" s="7"/>
      <c r="E23" s="7"/>
      <c r="F23" s="7"/>
      <c r="G23" s="7"/>
      <c r="H23" s="7"/>
      <c r="I23" s="1" t="s">
        <v>63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9" t="s">
        <v>64</v>
      </c>
      <c r="B24" s="9" t="s">
        <v>65</v>
      </c>
      <c r="C24" s="7"/>
      <c r="D24" s="7"/>
      <c r="E24" s="7"/>
      <c r="F24" s="7"/>
      <c r="G24" s="7"/>
      <c r="H24" s="7"/>
      <c r="I24" s="10" t="s">
        <v>50</v>
      </c>
      <c r="J24" s="11" t="s">
        <v>66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9" t="s">
        <v>10</v>
      </c>
      <c r="B25" s="9" t="s">
        <v>67</v>
      </c>
      <c r="C25" s="7"/>
      <c r="D25" s="7"/>
      <c r="E25" s="1" t="s">
        <v>52</v>
      </c>
      <c r="F25" s="7"/>
      <c r="G25" s="1" t="s">
        <v>68</v>
      </c>
      <c r="H25" s="1"/>
      <c r="I25" s="10"/>
      <c r="J25" s="11" t="s">
        <v>69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9" t="s">
        <v>12</v>
      </c>
      <c r="B26" s="9" t="s">
        <v>70</v>
      </c>
      <c r="C26" s="7"/>
      <c r="D26" s="7"/>
      <c r="E26" s="9" t="s">
        <v>71</v>
      </c>
      <c r="F26" s="7"/>
      <c r="G26" s="9" t="s">
        <v>72</v>
      </c>
      <c r="I26" s="12"/>
      <c r="J26" s="11" t="s">
        <v>73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9" t="s">
        <v>74</v>
      </c>
      <c r="F27" s="7"/>
      <c r="G27" s="9" t="s">
        <v>75</v>
      </c>
      <c r="I27" s="12"/>
      <c r="J27" s="11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1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1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</sheetData>
  <mergeCells count="11">
    <mergeCell ref="J25:K25"/>
    <mergeCell ref="G26:H26"/>
    <mergeCell ref="J26:K26"/>
    <mergeCell ref="G27:H27"/>
    <mergeCell ref="I18:K18"/>
    <mergeCell ref="J19:K19"/>
    <mergeCell ref="J20:K20"/>
    <mergeCell ref="J21:K21"/>
    <mergeCell ref="J22:K22"/>
    <mergeCell ref="I23:K23"/>
    <mergeCell ref="J24:K24"/>
  </mergeCells>
  <drawing r:id="rId1"/>
</worksheet>
</file>